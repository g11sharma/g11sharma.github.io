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isk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Issues" sheetId="5" state="visible" r:id="rId5"/>
    <sheet xmlns:r="http://schemas.openxmlformats.org/officeDocument/2006/relationships" name="Dependencies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Change log" sheetId="8" state="visible" r:id="rId8"/>
    <sheet xmlns:r="http://schemas.openxmlformats.org/officeDocument/2006/relationships" name="UAT test plan" sheetId="9" state="visible" r:id="rId9"/>
    <sheet xmlns:r="http://schemas.openxmlformats.org/officeDocument/2006/relationships" name="Defects" sheetId="10" state="visible" r:id="rId10"/>
    <sheet xmlns:r="http://schemas.openxmlformats.org/officeDocument/2006/relationships" name="Go-no-go" sheetId="11" state="visible" r:id="rId11"/>
  </sheets>
  <definedNames>
    <definedName name="_xlnm._FilterDatabase" localSheetId="2" hidden="1">'Risks'!$A$1:$K$9</definedName>
    <definedName name="_xlnm._FilterDatabase" localSheetId="3" hidden="1">'Assumptions'!$A$1:$F$5</definedName>
    <definedName name="_xlnm._FilterDatabase" localSheetId="4" hidden="1">'Issues'!$A$1:$F$4</definedName>
    <definedName name="_xlnm._FilterDatabase" localSheetId="5" hidden="1">'Dependencies'!$A$1:$F$5</definedName>
    <definedName name="_xlnm._FilterDatabase" localSheetId="6" hidden="1">'Decisions'!$A$1:$C$6</definedName>
    <definedName name="_xlnm._FilterDatabase" localSheetId="7" hidden="1">'Change log'!$A$1:$K$6</definedName>
    <definedName name="_xlnm._FilterDatabase" localSheetId="8" hidden="1">'UAT test plan'!$A$1:$G$25</definedName>
    <definedName name="_xlnm._FilterDatabase" localSheetId="9" hidden="1">'Defects'!$A$1:$F$7</definedName>
    <definedName name="_xlnm._FilterDatabase" localSheetId="10" hidden="1">'Go-no-go'!$A$1:$F$17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6">
    <font>
      <name val="Calibri"/>
      <family val="2"/>
      <color theme="1"/>
      <sz val="11"/>
      <scheme val="minor"/>
    </font>
    <font>
      <name val="Arial"/>
      <b val="1"/>
      <color rgb="001C2530"/>
      <sz val="16"/>
    </font>
    <font>
      <name val="Arial"/>
      <i val="1"/>
      <color rgb="005B6673"/>
      <sz val="9"/>
    </font>
    <font>
      <name val="Arial"/>
      <b val="1"/>
      <color rgb="001C2530"/>
      <sz val="10"/>
    </font>
    <font>
      <name val="Arial"/>
      <color rgb="001C253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D62"/>
      </patternFill>
    </fill>
    <fill>
      <patternFill patternType="solid">
        <fgColor rgb="00FFF2CC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5DAE0"/>
      </left>
      <right style="thin">
        <color rgb="00D5DAE0"/>
      </right>
      <top style="thin">
        <color rgb="00D5DAE0"/>
      </top>
      <bottom style="thin">
        <color rgb="00D5DA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horizontal="left"/>
    </xf>
    <xf numFmtId="0" fontId="5" fillId="2" borderId="0" pivotButton="0" quotePrefix="0" xfId="0"/>
    <xf numFmtId="0" fontId="5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0" fillId="2" borderId="0" pivotButton="0" quotePrefix="0" xfId="0"/>
    <xf numFmtId="0" fontId="4" fillId="0" borderId="1" pivotButton="0" quotePrefix="0" xfId="0"/>
    <xf numFmtId="0" fontId="3" fillId="4" borderId="1" applyAlignment="1" pivotButton="0" quotePrefix="0" xfId="0">
      <alignment horizontal="right"/>
    </xf>
    <xf numFmtId="9" fontId="3" fillId="4" borderId="1" applyAlignment="1" pivotButton="0" quotePrefix="0" xfId="0">
      <alignment horizontal="right"/>
    </xf>
    <xf numFmtId="0" fontId="5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0" fontId="3" fillId="0" borderId="0" applyAlignment="1" pivotButton="0" quotePrefix="0" xfId="0">
      <alignment horizontal="right"/>
    </xf>
    <xf numFmtId="0" fontId="4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DE2DF"/>
        </patternFill>
      </fill>
    </dxf>
    <dxf>
      <fill>
        <patternFill patternType="solid">
          <fgColor rgb="00FFF1CC"/>
        </patternFill>
      </fill>
    </dxf>
    <dxf>
      <fill>
        <patternFill patternType="solid">
          <fgColor rgb="00E3F1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Lumen Rollout · Project control workbook</t>
        </is>
      </c>
    </row>
    <row r="2">
      <c r="A2" s="2" t="inlineStr">
        <is>
          <t>Oracle EPM rollout (EPBCS and FCCS) at Maison Lumen · status at 25 September 2026</t>
        </is>
      </c>
    </row>
    <row r="4">
      <c r="A4" s="3" t="inlineStr">
        <is>
          <t>Purpose</t>
        </is>
      </c>
      <c r="B4" s="4" t="inlineStr">
        <is>
          <t>One place for the registers the project manager reviews every week and presents to the steering committee.</t>
        </is>
      </c>
    </row>
    <row r="5">
      <c r="A5" s="3" t="inlineStr">
        <is>
          <t>Owner</t>
        </is>
      </c>
      <c r="B5" s="4" t="inlineStr">
        <is>
          <t>Gaurav Sharma, project manager</t>
        </is>
      </c>
    </row>
    <row r="6">
      <c r="A6" s="3" t="inlineStr">
        <is>
          <t>Status date</t>
        </is>
      </c>
      <c r="B6" s="5" t="n">
        <v>46290</v>
      </c>
    </row>
    <row r="7">
      <c r="A7" s="3" t="inlineStr"/>
      <c r="B7" s="4" t="inlineStr"/>
    </row>
    <row r="8">
      <c r="A8" s="6" t="inlineStr">
        <is>
          <t>Sheet</t>
        </is>
      </c>
      <c r="B8" s="7" t="inlineStr">
        <is>
          <t>Content</t>
        </is>
      </c>
    </row>
    <row r="9">
      <c r="A9" s="3" t="inlineStr">
        <is>
          <t>Dashboard</t>
        </is>
      </c>
      <c r="B9" s="4" t="inlineStr">
        <is>
          <t>Calculated summary: risks, issues, change control, UAT exit criteria and the go/no-go decision</t>
        </is>
      </c>
    </row>
    <row r="10">
      <c r="A10" s="3" t="inlineStr">
        <is>
          <t>Risks</t>
        </is>
      </c>
      <c r="B10" s="4" t="inlineStr">
        <is>
          <t>Risk register: probability × impact, level, owner, response, status</t>
        </is>
      </c>
    </row>
    <row r="11">
      <c r="A11" s="3" t="inlineStr">
        <is>
          <t>Assumptions</t>
        </is>
      </c>
      <c r="B11" s="4" t="inlineStr">
        <is>
          <t>What the plan takes for granted, with the date by which it must be checked</t>
        </is>
      </c>
    </row>
    <row r="12">
      <c r="A12" s="3" t="inlineStr">
        <is>
          <t>Issues</t>
        </is>
      </c>
      <c r="B12" s="4" t="inlineStr">
        <is>
          <t>Risks that have happened, with an owner and an action</t>
        </is>
      </c>
    </row>
    <row r="13">
      <c r="A13" s="3" t="inlineStr">
        <is>
          <t>Dependencies</t>
        </is>
      </c>
      <c r="B13" s="4" t="inlineStr">
        <is>
          <t>Work outside the project team; status calculated from the dates</t>
        </is>
      </c>
    </row>
    <row r="14">
      <c r="A14" s="3" t="inlineStr">
        <is>
          <t>Decisions</t>
        </is>
      </c>
      <c r="B14" s="4" t="inlineStr">
        <is>
          <t>Decisions of the steering committee and of the project manager</t>
        </is>
      </c>
    </row>
    <row r="15">
      <c r="A15" s="3" t="inlineStr">
        <is>
          <t>Change log</t>
        </is>
      </c>
      <c r="B15" s="4" t="inlineStr">
        <is>
          <t>Change requests, their impact, who decides, and the contingency released</t>
        </is>
      </c>
    </row>
    <row r="16">
      <c r="A16" s="3" t="inlineStr">
        <is>
          <t>UAT test plan</t>
        </is>
      </c>
      <c r="B16" s="4" t="inlineStr">
        <is>
          <t>User acceptance test cases, traced to the requirements of the design documents</t>
        </is>
      </c>
    </row>
    <row r="17">
      <c r="A17" s="3" t="inlineStr">
        <is>
          <t>Defects</t>
        </is>
      </c>
      <c r="B17" s="4" t="inlineStr">
        <is>
          <t>Defects raised in testing, by severity</t>
        </is>
      </c>
    </row>
    <row r="18">
      <c r="A18" s="3" t="inlineStr">
        <is>
          <t>Go-no-go</t>
        </is>
      </c>
      <c r="B18" s="4" t="inlineStr">
        <is>
          <t>Cutover checklist for the EPBCS go-live</t>
        </is>
      </c>
    </row>
    <row r="19">
      <c r="A19" s="3" t="inlineStr"/>
      <c r="B19" s="4" t="inlineStr"/>
    </row>
    <row r="20">
      <c r="A20" s="3" t="inlineStr">
        <is>
          <t>Legend</t>
        </is>
      </c>
      <c r="B20" s="8" t="inlineStr">
        <is>
          <t>Yellow cells are inputs: edit them. Grey cells are formulas: do not overwrite them.</t>
        </is>
      </c>
    </row>
    <row r="21">
      <c r="A21" s="3" t="inlineStr">
        <is>
          <t>Risk scale</t>
        </is>
      </c>
      <c r="B21" s="4" t="inlineStr">
        <is>
          <t>Score = P × I (1 to 5 each). Low 1–7, medium 8–14, high 15–25; 20 or more blocks the go-live.</t>
        </is>
      </c>
    </row>
    <row r="22">
      <c r="A22" s="3" t="inlineStr">
        <is>
          <t>Tolerances</t>
        </is>
      </c>
      <c r="B22" s="4" t="inlineStr">
        <is>
          <t>Go-lives ±10 working days; cost +5 % of the authorised budget. Beyond them: exception report to the steering committee.</t>
        </is>
      </c>
    </row>
    <row r="23">
      <c r="A23" s="3" t="inlineStr">
        <is>
          <t>Change authority</t>
        </is>
      </c>
      <c r="B23" s="4" t="inlineStr">
        <is>
          <t>Project manager up to 10 k€ with no effect on a go-live; otherwise the steering committee (COPIL).</t>
        </is>
      </c>
    </row>
    <row r="24">
      <c r="A24" s="3" t="inlineStr"/>
      <c r="B24" s="4" t="inlineStr"/>
    </row>
    <row r="25">
      <c r="A25" s="3" t="inlineStr">
        <is>
          <t>Note</t>
        </is>
      </c>
      <c r="B25" s="4" t="inlineStr">
        <is>
          <t>Portfolio sample. Maison Lumen, its people and all figures are fictional.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2" customWidth="1" min="3" max="3"/>
  </cols>
  <sheetData>
    <row r="1">
      <c r="A1" s="1" t="inlineStr">
        <is>
          <t>Dashboard · status at 25 September 2026</t>
        </is>
      </c>
    </row>
    <row r="2">
      <c r="A2" s="2" t="inlineStr">
        <is>
          <t>Every value on this sheet is calculated from the registers.</t>
        </is>
      </c>
    </row>
    <row r="3">
      <c r="A3" s="6" t="inlineStr">
        <is>
          <t>RAID</t>
        </is>
      </c>
      <c r="B3" s="9" t="n"/>
      <c r="C3" s="9" t="n"/>
    </row>
    <row r="4">
      <c r="A4" s="10" t="inlineStr">
        <is>
          <t>Open risks</t>
        </is>
      </c>
      <c r="B4" s="11">
        <f>COUNTIF(Risks!K2:K9,"Open")</f>
        <v/>
      </c>
      <c r="C4" s="2" t="inlineStr"/>
    </row>
    <row r="5">
      <c r="A5" s="10" t="inlineStr">
        <is>
          <t>Open high risks (score 15 or more)</t>
        </is>
      </c>
      <c r="B5" s="11">
        <f>COUNTIFS(Risks!F2:F9,"&gt;=15",Risks!K2:K9,"Open")</f>
        <v/>
      </c>
      <c r="C5" s="2" t="inlineStr">
        <is>
          <t>Go-live condition</t>
        </is>
      </c>
    </row>
    <row r="6">
      <c r="A6" s="10" t="inlineStr">
        <is>
          <t>Open risks blocking go-live (score 20 or more)</t>
        </is>
      </c>
      <c r="B6" s="11">
        <f>COUNTIFS(Risks!F2:F9,"&gt;=20",Risks!K2:K9,"Open")</f>
        <v/>
      </c>
      <c r="C6" s="2" t="inlineStr">
        <is>
          <t>Go-live blocker</t>
        </is>
      </c>
    </row>
    <row r="7">
      <c r="A7" s="10" t="inlineStr">
        <is>
          <t>Open issues</t>
        </is>
      </c>
      <c r="B7" s="11">
        <f>COUNTIF(Issues!F2:F4,"Open")</f>
        <v/>
      </c>
      <c r="C7" s="2" t="inlineStr"/>
    </row>
    <row r="8">
      <c r="A8" s="10" t="inlineStr">
        <is>
          <t>Late dependencies</t>
        </is>
      </c>
      <c r="B8" s="11">
        <f>COUNTIF(Dependencies!F2:F5,"Late")</f>
        <v/>
      </c>
      <c r="C8" s="2" t="inlineStr"/>
    </row>
    <row r="9">
      <c r="A9" s="6" t="inlineStr">
        <is>
          <t>Change control</t>
        </is>
      </c>
      <c r="B9" s="9" t="n"/>
      <c r="C9" s="9" t="n"/>
    </row>
    <row r="10">
      <c r="A10" s="10" t="inlineStr">
        <is>
          <t>Change requests awaiting decision</t>
        </is>
      </c>
      <c r="B10" s="11">
        <f>COUNTIF('Change log'!I2:I6,"Submitted")</f>
        <v/>
      </c>
      <c r="C10" s="2" t="inlineStr"/>
    </row>
    <row r="11">
      <c r="A11" s="10" t="inlineStr">
        <is>
          <t>Contingency left (k€)</t>
        </is>
      </c>
      <c r="B11" s="11">
        <f>'Change log'!C11</f>
        <v/>
      </c>
      <c r="C11" s="2" t="inlineStr"/>
    </row>
    <row r="12">
      <c r="A12" s="10" t="inlineStr">
        <is>
          <t>Authorised budget (k€)</t>
        </is>
      </c>
      <c r="B12" s="11">
        <f>'Change log'!C12</f>
        <v/>
      </c>
      <c r="C12" s="2" t="inlineStr">
        <is>
          <t>Work budget + contingency released</t>
        </is>
      </c>
    </row>
    <row r="13">
      <c r="A13" s="6" t="inlineStr">
        <is>
          <t>UAT</t>
        </is>
      </c>
      <c r="B13" s="9" t="n"/>
      <c r="C13" s="9" t="n"/>
    </row>
    <row r="14">
      <c r="A14" s="10" t="inlineStr">
        <is>
          <t>Test cases in scope</t>
        </is>
      </c>
      <c r="B14" s="11">
        <f>COUNTIF('UAT test plan'!F2:F25,"&lt;&gt;Descoped")</f>
        <v/>
      </c>
      <c r="C14" s="2" t="inlineStr"/>
    </row>
    <row r="15">
      <c r="A15" s="10" t="inlineStr">
        <is>
          <t>Passed</t>
        </is>
      </c>
      <c r="B15" s="11">
        <f>COUNTIF('UAT test plan'!F2:F25,"Passed")</f>
        <v/>
      </c>
      <c r="C15" s="2" t="inlineStr"/>
    </row>
    <row r="16">
      <c r="A16" s="10" t="inlineStr">
        <is>
          <t>Failed</t>
        </is>
      </c>
      <c r="B16" s="11">
        <f>COUNTIF('UAT test plan'!F2:F25,"Failed")</f>
        <v/>
      </c>
      <c r="C16" s="2" t="inlineStr"/>
    </row>
    <row r="17">
      <c r="A17" s="10" t="inlineStr">
        <is>
          <t>Blocked</t>
        </is>
      </c>
      <c r="B17" s="11">
        <f>COUNTIF('UAT test plan'!F2:F25,"Blocked")</f>
        <v/>
      </c>
      <c r="C17" s="2" t="inlineStr"/>
    </row>
    <row r="18">
      <c r="A18" s="10" t="inlineStr">
        <is>
          <t>Not run</t>
        </is>
      </c>
      <c r="B18" s="11">
        <f>COUNTIF('UAT test plan'!F2:F25,"Not run")</f>
        <v/>
      </c>
      <c r="C18" s="2" t="inlineStr"/>
    </row>
    <row r="19">
      <c r="A19" s="10" t="inlineStr">
        <is>
          <t>Executed</t>
        </is>
      </c>
      <c r="B19" s="12">
        <f>(B15+B16)/B14</f>
        <v/>
      </c>
      <c r="C19" s="2" t="inlineStr">
        <is>
          <t>Passed + failed, over cases in scope</t>
        </is>
      </c>
    </row>
    <row r="20">
      <c r="A20" s="10" t="inlineStr">
        <is>
          <t>Pass rate</t>
        </is>
      </c>
      <c r="B20" s="12">
        <f>B15/B14</f>
        <v/>
      </c>
      <c r="C20" s="2" t="inlineStr"/>
    </row>
    <row r="21">
      <c r="A21" s="10" t="inlineStr">
        <is>
          <t>Open critical defects</t>
        </is>
      </c>
      <c r="B21" s="11">
        <f>COUNTIFS(Defects!C2:C7,"Critical",Defects!F2:F7,"&lt;&gt;Closed")</f>
        <v/>
      </c>
      <c r="C21" s="2" t="inlineStr"/>
    </row>
    <row r="22">
      <c r="A22" s="10" t="inlineStr">
        <is>
          <t>Open major defects</t>
        </is>
      </c>
      <c r="B22" s="11">
        <f>COUNTIFS(Defects!C2:C7,"Major",Defects!F2:F7,"&lt;&gt;Closed")</f>
        <v/>
      </c>
      <c r="C22" s="2" t="inlineStr"/>
    </row>
    <row r="23">
      <c r="A23" s="10" t="inlineStr">
        <is>
          <t>Security tests passed</t>
        </is>
      </c>
      <c r="B23" s="12">
        <f>COUNTIFS('UAT test plan'!B2:B25,"Security",'UAT test plan'!F2:F25,"Passed")/COUNTIF('UAT test plan'!B2:B25,"Security")</f>
        <v/>
      </c>
      <c r="C23" s="2" t="inlineStr"/>
    </row>
    <row r="24">
      <c r="A24" s="6" t="inlineStr">
        <is>
          <t>Exit criteria</t>
        </is>
      </c>
      <c r="B24" s="9" t="n"/>
      <c r="C24" s="9" t="n"/>
    </row>
    <row r="25">
      <c r="A25" s="10" t="inlineStr">
        <is>
          <t>C1 · 100 % of cases executed</t>
        </is>
      </c>
      <c r="B25" s="11">
        <f>IF(B19&gt;=1,"Met","Blocker")</f>
        <v/>
      </c>
      <c r="C25" s="2" t="inlineStr"/>
    </row>
    <row r="26">
      <c r="A26" s="10" t="inlineStr">
        <is>
          <t>C2 · At least 95 % passed (90 % with conditions)</t>
        </is>
      </c>
      <c r="B26" s="11">
        <f>IF(B20&gt;=0.95,"Met",IF(B20&gt;=0.9,"Condition","Blocker"))</f>
        <v/>
      </c>
      <c r="C26" s="2" t="inlineStr"/>
    </row>
    <row r="27">
      <c r="A27" s="10" t="inlineStr">
        <is>
          <t>C3 · No critical defect open</t>
        </is>
      </c>
      <c r="B27" s="11">
        <f>IF(B21=0,"Met","Blocker")</f>
        <v/>
      </c>
      <c r="C27" s="2" t="inlineStr"/>
    </row>
    <row r="28">
      <c r="A28" s="10" t="inlineStr">
        <is>
          <t>C4 · No major defect (2 at most with a workaround)</t>
        </is>
      </c>
      <c r="B28" s="11">
        <f>IF(B22=0,"Met",IF(B22&lt;=2,"Condition","Blocker"))</f>
        <v/>
      </c>
      <c r="C28" s="2" t="inlineStr"/>
    </row>
    <row r="29">
      <c r="A29" s="10" t="inlineStr">
        <is>
          <t>C5 · 100 % of security tests passed</t>
        </is>
      </c>
      <c r="B29" s="11">
        <f>IF(B23&gt;=1,"Met","Blocker")</f>
        <v/>
      </c>
      <c r="C29" s="2" t="inlineStr"/>
    </row>
    <row r="30">
      <c r="A30" s="6" t="inlineStr">
        <is>
          <t>Go/no-go</t>
        </is>
      </c>
      <c r="B30" s="9" t="n"/>
      <c r="C30" s="9" t="n"/>
    </row>
    <row r="31">
      <c r="A31" s="10" t="inlineStr">
        <is>
          <t>Critical checklist actions not done</t>
        </is>
      </c>
      <c r="B31" s="11">
        <f>COUNTIFS('Go-no-go'!D2:D17,"Yes",'Go-no-go'!F2:F17,"No")</f>
        <v/>
      </c>
      <c r="C31" s="2" t="inlineStr">
        <is>
          <t>Blockers</t>
        </is>
      </c>
    </row>
    <row r="32">
      <c r="A32" s="10" t="inlineStr">
        <is>
          <t>Other checklist actions not done</t>
        </is>
      </c>
      <c r="B32" s="11">
        <f>COUNTIFS('Go-no-go'!D2:D17,"No",'Go-no-go'!F2:F17,"No")</f>
        <v/>
      </c>
      <c r="C32" s="2" t="inlineStr">
        <is>
          <t>Conditions</t>
        </is>
      </c>
    </row>
    <row r="33">
      <c r="A33" s="10" t="inlineStr">
        <is>
          <t>Blocking points</t>
        </is>
      </c>
      <c r="B33" s="11">
        <f>COUNTIF(B25:B29,"Blocker")+B31+B6</f>
        <v/>
      </c>
      <c r="C33" s="2" t="inlineStr">
        <is>
          <t>Exit criteria + critical actions + risks of 20 or more</t>
        </is>
      </c>
    </row>
    <row r="34">
      <c r="A34" s="10" t="inlineStr">
        <is>
          <t>Conditions</t>
        </is>
      </c>
      <c r="B34" s="11">
        <f>COUNTIF(B25:B29,"Condition")+B32+B5-B6</f>
        <v/>
      </c>
      <c r="C34" s="2" t="inlineStr">
        <is>
          <t>Exit criteria + other actions + high risks below 20</t>
        </is>
      </c>
    </row>
    <row r="35">
      <c r="A35" s="10" t="inlineStr">
        <is>
          <t>Calculated decision</t>
        </is>
      </c>
      <c r="B35" s="11">
        <f>IF(B33&gt;0,"NO GO",IF(B34&gt;0,"GO WITH CONDITIONS","GO"))</f>
        <v/>
      </c>
      <c r="C35" s="2" t="inlineStr">
        <is>
          <t>Recorded by the go/no-go committee</t>
        </is>
      </c>
    </row>
  </sheetData>
  <conditionalFormatting sqref="B25:B29">
    <cfRule type="cellIs" priority="1" operator="equal" dxfId="0">
      <formula>"Blocker"</formula>
    </cfRule>
    <cfRule type="cellIs" priority="2" operator="equal" dxfId="1">
      <formula>"Condition"</formula>
    </cfRule>
    <cfRule type="cellIs" priority="3" operator="equal" dxfId="2">
      <formula>"Met"</formula>
    </cfRule>
  </conditionalFormatting>
  <conditionalFormatting sqref="B35">
    <cfRule type="cellIs" priority="4" operator="equal" dxfId="0">
      <formula>"NO GO"</formula>
    </cfRule>
  </conditionalFormatting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8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  <col width="11" customWidth="1" min="9" max="9"/>
    <col width="46" customWidth="1" min="10" max="10"/>
    <col width="9" customWidth="1" min="11" max="11"/>
  </cols>
  <sheetData>
    <row r="1">
      <c r="A1" s="13" t="inlineStr">
        <is>
          <t>ID</t>
        </is>
      </c>
      <c r="B1" s="13" t="inlineStr">
        <is>
          <t>Risk</t>
        </is>
      </c>
      <c r="C1" s="13" t="inlineStr">
        <is>
          <t>Owner</t>
        </is>
      </c>
      <c r="D1" s="13" t="inlineStr">
        <is>
          <t>P (1-5)</t>
        </is>
      </c>
      <c r="E1" s="13" t="inlineStr">
        <is>
          <t>I (1-5)</t>
        </is>
      </c>
      <c r="F1" s="13" t="inlineStr">
        <is>
          <t>Score</t>
        </is>
      </c>
      <c r="G1" s="13" t="inlineStr">
        <is>
          <t>Level</t>
        </is>
      </c>
      <c r="H1" s="13" t="inlineStr">
        <is>
          <t>Blocks go-live</t>
        </is>
      </c>
      <c r="I1" s="13" t="inlineStr">
        <is>
          <t>Response</t>
        </is>
      </c>
      <c r="J1" s="13" t="inlineStr">
        <is>
          <t>Action</t>
        </is>
      </c>
      <c r="K1" s="13" t="inlineStr">
        <is>
          <t>Status</t>
        </is>
      </c>
    </row>
    <row r="2">
      <c r="A2" s="14" t="inlineStr">
        <is>
          <t>R1</t>
        </is>
      </c>
      <c r="B2" s="14" t="inlineStr">
        <is>
          <t>Poor quality of historical ERP data</t>
        </is>
      </c>
      <c r="C2" s="14" t="inlineStr">
        <is>
          <t>IT / ERP</t>
        </is>
      </c>
      <c r="D2" s="15" t="n">
        <v>4</v>
      </c>
      <c r="E2" s="15" t="n">
        <v>4</v>
      </c>
      <c r="F2" s="16">
        <f>D2*E2</f>
        <v/>
      </c>
      <c r="G2" s="16">
        <f>IF(F2&gt;=15,"High",IF(F2&gt;=8,"Medium","Low"))</f>
        <v/>
      </c>
      <c r="H2" s="16">
        <f>IF(F2&gt;=20,"Yes","No")</f>
        <v/>
      </c>
      <c r="I2" s="15" t="inlineStr">
        <is>
          <t>Reduce</t>
        </is>
      </c>
      <c r="J2" s="14" t="inlineStr">
        <is>
          <t>Data cleansing and monthly reconciliation with accounting</t>
        </is>
      </c>
      <c r="K2" s="15" t="inlineStr">
        <is>
          <t>Open</t>
        </is>
      </c>
    </row>
    <row r="3">
      <c r="A3" s="14" t="inlineStr">
        <is>
          <t>R2</t>
        </is>
      </c>
      <c r="B3" s="14" t="inlineStr">
        <is>
          <t>Key users unavailable during testing (budget season)</t>
        </is>
      </c>
      <c r="C3" s="14" t="inlineStr">
        <is>
          <t>Sponsor (CFO)</t>
        </is>
      </c>
      <c r="D3" s="15" t="n">
        <v>4</v>
      </c>
      <c r="E3" s="15" t="n">
        <v>3</v>
      </c>
      <c r="F3" s="16">
        <f>D3*E3</f>
        <v/>
      </c>
      <c r="G3" s="16">
        <f>IF(F3&gt;=15,"High",IF(F3&gt;=8,"Medium","Low"))</f>
        <v/>
      </c>
      <c r="H3" s="16">
        <f>IF(F3&gt;=20,"Yes","No")</f>
        <v/>
      </c>
      <c r="I3" s="15" t="inlineStr">
        <is>
          <t>Reduce</t>
        </is>
      </c>
      <c r="J3" s="14" t="inlineStr">
        <is>
          <t>Test schedule approved by the CFO, half-days blocked</t>
        </is>
      </c>
      <c r="K3" s="15" t="inlineStr">
        <is>
          <t>Open</t>
        </is>
      </c>
    </row>
    <row r="4">
      <c r="A4" s="14" t="inlineStr">
        <is>
          <t>R3</t>
        </is>
      </c>
      <c r="B4" s="14" t="inlineStr">
        <is>
          <t>Delay in the ERP data flows (Data Management)</t>
        </is>
      </c>
      <c r="C4" s="14" t="inlineStr">
        <is>
          <t>IT / ERP</t>
        </is>
      </c>
      <c r="D4" s="15" t="n">
        <v>3</v>
      </c>
      <c r="E4" s="15" t="n">
        <v>4</v>
      </c>
      <c r="F4" s="16">
        <f>D4*E4</f>
        <v/>
      </c>
      <c r="G4" s="16">
        <f>IF(F4&gt;=15,"High",IF(F4&gt;=8,"Medium","Low"))</f>
        <v/>
      </c>
      <c r="H4" s="16">
        <f>IF(F4&gt;=20,"Yes","No")</f>
        <v/>
      </c>
      <c r="I4" s="15" t="inlineStr">
        <is>
          <t>Fallback</t>
        </is>
      </c>
      <c r="J4" s="14" t="inlineStr">
        <is>
          <t>Manual file loads until the flows are ready</t>
        </is>
      </c>
      <c r="K4" s="15" t="inlineStr">
        <is>
          <t>Open</t>
        </is>
      </c>
    </row>
    <row r="5">
      <c r="A5" s="14" t="inlineStr">
        <is>
          <t>R4</t>
        </is>
      </c>
      <c r="B5" s="14" t="inlineStr">
        <is>
          <t>Complex consolidation rules (NCI, FX)</t>
        </is>
      </c>
      <c r="C5" s="14" t="inlineStr">
        <is>
          <t>Consolidation team</t>
        </is>
      </c>
      <c r="D5" s="15" t="n">
        <v>2</v>
      </c>
      <c r="E5" s="15" t="n">
        <v>4</v>
      </c>
      <c r="F5" s="16">
        <f>D5*E5</f>
        <v/>
      </c>
      <c r="G5" s="16">
        <f>IF(F5&gt;=15,"High",IF(F5&gt;=8,"Medium","Low"))</f>
        <v/>
      </c>
      <c r="H5" s="16">
        <f>IF(F5&gt;=20,"Yes","No")</f>
        <v/>
      </c>
      <c r="I5" s="15" t="inlineStr">
        <is>
          <t>Reduce</t>
        </is>
      </c>
      <c r="J5" s="14" t="inlineStr">
        <is>
          <t>Dedicated test cases, auditor review</t>
        </is>
      </c>
      <c r="K5" s="15" t="inlineStr">
        <is>
          <t>Open</t>
        </is>
      </c>
    </row>
    <row r="6">
      <c r="A6" s="14" t="inlineStr">
        <is>
          <t>R5</t>
        </is>
      </c>
      <c r="B6" s="14" t="inlineStr">
        <is>
          <t>Resistance to change (attachment to Excel)</t>
        </is>
      </c>
      <c r="C6" s="14" t="inlineStr">
        <is>
          <t>Project manager</t>
        </is>
      </c>
      <c r="D6" s="15" t="n">
        <v>3</v>
      </c>
      <c r="E6" s="15" t="n">
        <v>3</v>
      </c>
      <c r="F6" s="16">
        <f>D6*E6</f>
        <v/>
      </c>
      <c r="G6" s="16">
        <f>IF(F6&gt;=15,"High",IF(F6&gt;=8,"Medium","Low"))</f>
        <v/>
      </c>
      <c r="H6" s="16">
        <f>IF(F6&gt;=20,"Yes","No")</f>
        <v/>
      </c>
      <c r="I6" s="15" t="inlineStr">
        <is>
          <t>Reduce</t>
        </is>
      </c>
      <c r="J6" s="14" t="inlineStr">
        <is>
          <t>Champions in each entity, demos, hands-on training</t>
        </is>
      </c>
      <c r="K6" s="15" t="inlineStr">
        <is>
          <t>Open</t>
        </is>
      </c>
    </row>
    <row r="7">
      <c r="A7" s="14" t="inlineStr">
        <is>
          <t>R6</t>
        </is>
      </c>
      <c r="B7" s="14" t="inlineStr">
        <is>
          <t>Dependence on one key consultant</t>
        </is>
      </c>
      <c r="C7" s="14" t="inlineStr">
        <is>
          <t>Project manager</t>
        </is>
      </c>
      <c r="D7" s="15" t="n">
        <v>2</v>
      </c>
      <c r="E7" s="15" t="n">
        <v>3</v>
      </c>
      <c r="F7" s="16">
        <f>D7*E7</f>
        <v/>
      </c>
      <c r="G7" s="16">
        <f>IF(F7&gt;=15,"High",IF(F7&gt;=8,"Medium","Low"))</f>
        <v/>
      </c>
      <c r="H7" s="16">
        <f>IF(F7&gt;=20,"Yes","No")</f>
        <v/>
      </c>
      <c r="I7" s="15" t="inlineStr">
        <is>
          <t>Reduce</t>
        </is>
      </c>
      <c r="J7" s="14" t="inlineStr">
        <is>
          <t>Documentation and pairing with the internal team</t>
        </is>
      </c>
      <c r="K7" s="15" t="inlineStr">
        <is>
          <t>Open</t>
        </is>
      </c>
    </row>
    <row r="8">
      <c r="A8" s="14" t="inlineStr">
        <is>
          <t>R7</t>
        </is>
      </c>
      <c r="B8" s="14" t="inlineStr">
        <is>
          <t>Oracle's October update during testing (test 2 Oct, production 16 Oct)</t>
        </is>
      </c>
      <c r="C8" s="14" t="inlineStr">
        <is>
          <t>IT / ERP</t>
        </is>
      </c>
      <c r="D8" s="15" t="n">
        <v>3</v>
      </c>
      <c r="E8" s="15" t="n">
        <v>2</v>
      </c>
      <c r="F8" s="16">
        <f>D8*E8</f>
        <v/>
      </c>
      <c r="G8" s="16">
        <f>IF(F8&gt;=15,"High",IF(F8&gt;=8,"Medium","Low"))</f>
        <v/>
      </c>
      <c r="H8" s="16">
        <f>IF(F8&gt;=20,"Yes","No")</f>
        <v/>
      </c>
      <c r="I8" s="15" t="inlineStr">
        <is>
          <t>Accept</t>
        </is>
      </c>
      <c r="J8" s="14" t="inlineStr">
        <is>
          <t>Regression tests after each update, before production</t>
        </is>
      </c>
      <c r="K8" s="15" t="inlineStr">
        <is>
          <t>Open</t>
        </is>
      </c>
    </row>
    <row r="9">
      <c r="A9" s="14" t="inlineStr">
        <is>
          <t>R8</t>
        </is>
      </c>
      <c r="B9" s="14" t="inlineStr">
        <is>
          <t>Project budget overrun</t>
        </is>
      </c>
      <c r="C9" s="14" t="inlineStr">
        <is>
          <t>Project manager</t>
        </is>
      </c>
      <c r="D9" s="15" t="n">
        <v>3</v>
      </c>
      <c r="E9" s="15" t="n">
        <v>3</v>
      </c>
      <c r="F9" s="16">
        <f>D9*E9</f>
        <v/>
      </c>
      <c r="G9" s="16">
        <f>IF(F9&gt;=15,"High",IF(F9&gt;=8,"Medium","Low"))</f>
        <v/>
      </c>
      <c r="H9" s="16">
        <f>IF(F9&gt;=20,"Yes","No")</f>
        <v/>
      </c>
      <c r="I9" s="15" t="inlineStr">
        <is>
          <t>Reduce</t>
        </is>
      </c>
      <c r="J9" s="14" t="inlineStr">
        <is>
          <t>Monthly earned value, scope trade-offs with the sponsor</t>
        </is>
      </c>
      <c r="K9" s="15" t="inlineStr">
        <is>
          <t>Open</t>
        </is>
      </c>
    </row>
  </sheetData>
  <autoFilter ref="A1:K9"/>
  <conditionalFormatting sqref="G2:G9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F2:F9">
    <cfRule type="cellIs" priority="4" operator="greaterThanOrEqual" dxfId="0">
      <formula>15</formula>
    </cfRule>
  </conditionalFormatting>
  <dataValidations count="3">
    <dataValidation sqref="D2:E9" showDropDown="0" showInputMessage="0" showErrorMessage="0" allowBlank="1" type="list">
      <formula1>"1,2,3,4,5"</formula1>
    </dataValidation>
    <dataValidation sqref="I2:I9" showDropDown="0" showInputMessage="0" showErrorMessage="0" allowBlank="1" type="list">
      <formula1>"Avoid,Reduce,Fallback,Transfer,Share,Accept"</formula1>
    </dataValidation>
    <dataValidation sqref="K2:K9" showDropDown="0" showInputMessage="0" showErrorMessage="0" allowBlank="1" type="list">
      <formula1>"Open,Closed"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8" customWidth="1" min="3" max="3"/>
    <col width="13" customWidth="1" min="4" max="4"/>
    <col width="11" customWidth="1" min="5" max="5"/>
    <col width="30" customWidth="1" min="6" max="6"/>
  </cols>
  <sheetData>
    <row r="1">
      <c r="A1" s="13" t="inlineStr">
        <is>
          <t>ID</t>
        </is>
      </c>
      <c r="B1" s="13" t="inlineStr">
        <is>
          <t>Assumption</t>
        </is>
      </c>
      <c r="C1" s="13" t="inlineStr">
        <is>
          <t>Owner</t>
        </is>
      </c>
      <c r="D1" s="13" t="inlineStr">
        <is>
          <t>Check by</t>
        </is>
      </c>
      <c r="E1" s="13" t="inlineStr">
        <is>
          <t>Status</t>
        </is>
      </c>
      <c r="F1" s="13" t="inlineStr">
        <is>
          <t>Note</t>
        </is>
      </c>
    </row>
    <row r="2">
      <c r="A2" s="14" t="inlineStr">
        <is>
          <t>AS1</t>
        </is>
      </c>
      <c r="B2" s="14" t="inlineStr">
        <is>
          <t>Key users give two half-days a week to testing</t>
        </is>
      </c>
      <c r="C2" s="14" t="inlineStr">
        <is>
          <t>Sponsor (CFO)</t>
        </is>
      </c>
      <c r="D2" s="17" t="n">
        <v>46279</v>
      </c>
      <c r="E2" s="15" t="inlineStr">
        <is>
          <t>Confirmed</t>
        </is>
      </c>
      <c r="F2" s="14" t="inlineStr"/>
    </row>
    <row r="3">
      <c r="A3" s="14" t="inlineStr">
        <is>
          <t>AS2</t>
        </is>
      </c>
      <c r="B3" s="14" t="inlineStr">
        <is>
          <t>The group chart of accounts stays frozen until the FCCS go-live</t>
        </is>
      </c>
      <c r="C3" s="14" t="inlineStr">
        <is>
          <t>Consolidation team</t>
        </is>
      </c>
      <c r="D3" s="17" t="n">
        <v>46157</v>
      </c>
      <c r="E3" s="15" t="inlineStr">
        <is>
          <t>Confirmed</t>
        </is>
      </c>
      <c r="F3" s="14" t="inlineStr"/>
    </row>
    <row r="4">
      <c r="A4" s="14" t="inlineStr">
        <is>
          <t>AS3</t>
        </is>
      </c>
      <c r="B4" s="14" t="inlineStr">
        <is>
          <t>Oracle EPM licences cover 60 users at no extra cost</t>
        </is>
      </c>
      <c r="C4" s="14" t="inlineStr">
        <is>
          <t>IT / ERP</t>
        </is>
      </c>
      <c r="D4" s="17" t="n">
        <v>46108</v>
      </c>
      <c r="E4" s="15" t="inlineStr">
        <is>
          <t>Confirmed</t>
        </is>
      </c>
      <c r="F4" s="14" t="inlineStr"/>
    </row>
    <row r="5">
      <c r="A5" s="14" t="inlineStr">
        <is>
          <t>AS4</t>
        </is>
      </c>
      <c r="B5" s="14" t="inlineStr">
        <is>
          <t>The 2024–2025 history can be extracted from the ERP without rework</t>
        </is>
      </c>
      <c r="C5" s="14" t="inlineStr">
        <is>
          <t>IT / ERP</t>
        </is>
      </c>
      <c r="D5" s="17" t="n">
        <v>46203</v>
      </c>
      <c r="E5" s="15" t="inlineStr">
        <is>
          <t>False</t>
        </is>
      </c>
      <c r="F5" s="14" t="inlineStr">
        <is>
          <t>Proved false: became issue I1</t>
        </is>
      </c>
    </row>
  </sheetData>
  <autoFilter ref="A1:F5"/>
  <conditionalFormatting sqref="E2:E5">
    <cfRule type="cellIs" priority="1" operator="equal" dxfId="0">
      <formula>"False"</formula>
    </cfRule>
  </conditionalFormatting>
  <dataValidations count="1">
    <dataValidation sqref="E2:E5" showDropDown="0" showInputMessage="0" showErrorMessage="0" allowBlank="1" type="list">
      <formula1>"Open,Confirmed,False"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0" customWidth="1" min="3" max="3"/>
    <col width="16" customWidth="1" min="4" max="4"/>
    <col width="46" customWidth="1" min="5" max="5"/>
    <col width="9" customWidth="1" min="6" max="6"/>
  </cols>
  <sheetData>
    <row r="1">
      <c r="A1" s="13" t="inlineStr">
        <is>
          <t>ID</t>
        </is>
      </c>
      <c r="B1" s="13" t="inlineStr">
        <is>
          <t>Issue</t>
        </is>
      </c>
      <c r="C1" s="13" t="inlineStr">
        <is>
          <t>Priority</t>
        </is>
      </c>
      <c r="D1" s="13" t="inlineStr">
        <is>
          <t>Owner</t>
        </is>
      </c>
      <c r="E1" s="13" t="inlineStr">
        <is>
          <t>Action</t>
        </is>
      </c>
      <c r="F1" s="13" t="inlineStr">
        <is>
          <t>Status</t>
        </is>
      </c>
    </row>
    <row r="2">
      <c r="A2" s="14" t="inlineStr">
        <is>
          <t>I1</t>
        </is>
      </c>
      <c r="B2" s="14" t="inlineStr">
        <is>
          <t>ERP flows about a month late: 2024–2025 history not yet loaded</t>
        </is>
      </c>
      <c r="C2" s="15" t="inlineStr">
        <is>
          <t>High</t>
        </is>
      </c>
      <c r="D2" s="14" t="inlineStr">
        <is>
          <t>IT / ERP</t>
        </is>
      </c>
      <c r="E2" s="14" t="inlineStr">
        <is>
          <t>Manual loads for testing; escalated to the committee</t>
        </is>
      </c>
      <c r="F2" s="15" t="inlineStr">
        <is>
          <t>Open</t>
        </is>
      </c>
    </row>
    <row r="3">
      <c r="A3" s="14" t="inlineStr">
        <is>
          <t>I2</t>
        </is>
      </c>
      <c r="B3" s="14" t="inlineStr">
        <is>
          <t>Since Oracle's 4 September update, journals are unavailable in the test environment</t>
        </is>
      </c>
      <c r="C3" s="15" t="inlineStr">
        <is>
          <t>Medium</t>
        </is>
      </c>
      <c r="D3" s="14" t="inlineStr">
        <is>
          <t>IT / ERP</t>
        </is>
      </c>
      <c r="E3" s="14" t="inlineStr">
        <is>
          <t>Support request (SR) opened with Oracle</t>
        </is>
      </c>
      <c r="F3" s="15" t="inlineStr">
        <is>
          <t>Open</t>
        </is>
      </c>
    </row>
    <row r="4">
      <c r="A4" s="14" t="inlineStr">
        <is>
          <t>I3</t>
        </is>
      </c>
      <c r="B4" s="14" t="inlineStr">
        <is>
          <t>Two key users absent the week of 5 October</t>
        </is>
      </c>
      <c r="C4" s="15" t="inlineStr">
        <is>
          <t>Medium</t>
        </is>
      </c>
      <c r="D4" s="14" t="inlineStr">
        <is>
          <t>Sponsor (CFO)</t>
        </is>
      </c>
      <c r="E4" s="14" t="inlineStr">
        <is>
          <t>Stand-ins named by the CFO</t>
        </is>
      </c>
      <c r="F4" s="15" t="inlineStr">
        <is>
          <t>Open</t>
        </is>
      </c>
    </row>
  </sheetData>
  <autoFilter ref="A1:F4"/>
  <dataValidations count="2">
    <dataValidation sqref="C2:C4" showDropDown="0" showInputMessage="0" showErrorMessage="0" allowBlank="1" type="list">
      <formula1>"High,Medium,Low"</formula1>
    </dataValidation>
    <dataValidation sqref="F2:F4" showDropDown="0" showInputMessage="0" showErrorMessage="0" allowBlank="1" type="list">
      <formula1>"Open,Closed"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13" customWidth="1" min="4" max="4"/>
    <col width="13" customWidth="1" min="5" max="5"/>
    <col width="14" customWidth="1" min="6" max="6"/>
  </cols>
  <sheetData>
    <row r="1">
      <c r="A1" s="13" t="inlineStr">
        <is>
          <t>ID</t>
        </is>
      </c>
      <c r="B1" s="13" t="inlineStr">
        <is>
          <t>Dependency</t>
        </is>
      </c>
      <c r="C1" s="13" t="inlineStr">
        <is>
          <t>Owner</t>
        </is>
      </c>
      <c r="D1" s="13" t="inlineStr">
        <is>
          <t>Needed by</t>
        </is>
      </c>
      <c r="E1" s="13" t="inlineStr">
        <is>
          <t>Forecast</t>
        </is>
      </c>
      <c r="F1" s="13" t="inlineStr">
        <is>
          <t>Status</t>
        </is>
      </c>
    </row>
    <row r="2">
      <c r="A2" s="14" t="inlineStr">
        <is>
          <t>DP1</t>
        </is>
      </c>
      <c r="B2" s="14" t="inlineStr">
        <is>
          <t>ERP flows delivered by the ERP team before performance testing</t>
        </is>
      </c>
      <c r="C2" s="14" t="inlineStr">
        <is>
          <t>IT / ERP</t>
        </is>
      </c>
      <c r="D2" s="17" t="n">
        <v>46290</v>
      </c>
      <c r="E2" s="18" t="n">
        <v>46290</v>
      </c>
      <c r="F2" s="16">
        <f>IF(E2&lt;D2,"On track",IF(E2=D2,"Just in time","Late"))</f>
        <v/>
      </c>
    </row>
    <row r="3">
      <c r="A3" s="14" t="inlineStr">
        <is>
          <t>DP2</t>
        </is>
      </c>
      <c r="B3" s="14" t="inlineStr">
        <is>
          <t>Test environment available after each Oracle update</t>
        </is>
      </c>
      <c r="C3" s="14" t="inlineStr">
        <is>
          <t>IT / ERP</t>
        </is>
      </c>
      <c r="D3" s="17" t="n">
        <v>46300</v>
      </c>
      <c r="E3" s="18" t="n">
        <v>46297</v>
      </c>
      <c r="F3" s="16">
        <f>IF(E3&lt;D3,"On track",IF(E3=D3,"Just in time","Late"))</f>
        <v/>
      </c>
    </row>
    <row r="4">
      <c r="A4" s="14" t="inlineStr">
        <is>
          <t>DP3</t>
        </is>
      </c>
      <c r="B4" s="14" t="inlineStr">
        <is>
          <t>Closing exchange rates supplied by treasury before the parallel run</t>
        </is>
      </c>
      <c r="C4" s="14" t="inlineStr">
        <is>
          <t>Consolidation team</t>
        </is>
      </c>
      <c r="D4" s="17" t="n">
        <v>46356</v>
      </c>
      <c r="E4" s="18" t="n">
        <v>46353</v>
      </c>
      <c r="F4" s="16">
        <f>IF(E4&lt;D4,"On track",IF(E4=D4,"Just in time","Late"))</f>
        <v/>
      </c>
    </row>
    <row r="5">
      <c r="A5" s="14" t="inlineStr">
        <is>
          <t>DP4</t>
        </is>
      </c>
      <c r="B5" s="14" t="inlineStr">
        <is>
          <t>FY27 budget calendar approved by executive management</t>
        </is>
      </c>
      <c r="C5" s="14" t="inlineStr">
        <is>
          <t>Sponsor (CFO)</t>
        </is>
      </c>
      <c r="D5" s="17" t="n">
        <v>46295</v>
      </c>
      <c r="E5" s="18" t="n">
        <v>46304</v>
      </c>
      <c r="F5" s="16">
        <f>IF(E5&lt;D5,"On track",IF(E5=D5,"Just in time","Late"))</f>
        <v/>
      </c>
    </row>
  </sheetData>
  <autoFilter ref="A1:F5"/>
  <conditionalFormatting sqref="F2:F5">
    <cfRule type="cellIs" priority="1" operator="equal" dxfId="0">
      <formula>"Late"</formula>
    </cfRule>
    <cfRule type="cellIs" priority="2" operator="equal" dxfId="1">
      <formula>"Just in time"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00" customWidth="1" min="3" max="3"/>
  </cols>
  <sheetData>
    <row r="1">
      <c r="A1" s="13" t="inlineStr">
        <is>
          <t>Date</t>
        </is>
      </c>
      <c r="B1" s="13" t="inlineStr">
        <is>
          <t>Forum</t>
        </is>
      </c>
      <c r="C1" s="13" t="inlineStr">
        <is>
          <t>Decision</t>
        </is>
      </c>
    </row>
    <row r="2">
      <c r="A2" s="17" t="n">
        <v>46108</v>
      </c>
      <c r="B2" s="14" t="inlineStr">
        <is>
          <t>COPIL</t>
        </is>
      </c>
      <c r="C2" s="14" t="inlineStr">
        <is>
          <t>Project charter approved: 480 k€ budget plus 48 k€ contingency; tolerances of ±10 working days on go-lives and +5 % on cost</t>
        </is>
      </c>
    </row>
    <row r="3">
      <c r="A3" s="17" t="n">
        <v>46157</v>
      </c>
      <c r="B3" s="14" t="inlineStr">
        <is>
          <t>COPIL</t>
        </is>
      </c>
      <c r="C3" s="14" t="inlineStr">
        <is>
          <t>Design document signed off; CR-01 approved (FCCS go-live on the year-end close)</t>
        </is>
      </c>
    </row>
    <row r="4">
      <c r="A4" s="17" t="n">
        <v>46206</v>
      </c>
      <c r="B4" s="14" t="inlineStr">
        <is>
          <t>COPIL</t>
        </is>
      </c>
      <c r="C4" s="14" t="inlineStr">
        <is>
          <t>CR-05 rejected: workforce planning moved to phase 2</t>
        </is>
      </c>
    </row>
    <row r="5">
      <c r="A5" s="17" t="n">
        <v>46262</v>
      </c>
      <c r="B5" s="14" t="inlineStr">
        <is>
          <t>COPIL</t>
        </is>
      </c>
      <c r="C5" s="14" t="inlineStr">
        <is>
          <t>Build complete accepted; testing stage authorised</t>
        </is>
      </c>
    </row>
    <row r="6">
      <c r="A6" s="17" t="n">
        <v>46273</v>
      </c>
      <c r="B6" s="14" t="inlineStr">
        <is>
          <t>Project manager</t>
        </is>
      </c>
      <c r="C6" s="14" t="inlineStr">
        <is>
          <t>CR-02 approved within the project manager's delegation (8 k€ of contingency)</t>
        </is>
      </c>
    </row>
  </sheetData>
  <autoFilter ref="A1:C6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8" customWidth="1" min="3" max="3"/>
    <col width="18" customWidth="1" min="4" max="4"/>
    <col width="13" customWidth="1" min="5" max="5"/>
    <col width="9" customWidth="1" min="6" max="6"/>
    <col width="10" customWidth="1" min="7" max="7"/>
    <col width="15" customWidth="1" min="8" max="8"/>
    <col width="11" customWidth="1" min="9" max="9"/>
    <col width="12" customWidth="1" min="10" max="10"/>
    <col width="34" customWidth="1" min="11" max="11"/>
  </cols>
  <sheetData>
    <row r="1">
      <c r="A1" s="13" t="inlineStr">
        <is>
          <t>ID</t>
        </is>
      </c>
      <c r="B1" s="13" t="inlineStr">
        <is>
          <t>Request</t>
        </is>
      </c>
      <c r="C1" s="13" t="inlineStr">
        <is>
          <t>Type</t>
        </is>
      </c>
      <c r="D1" s="13" t="inlineStr">
        <is>
          <t>Requested by</t>
        </is>
      </c>
      <c r="E1" s="13" t="inlineStr">
        <is>
          <t>Date</t>
        </is>
      </c>
      <c r="F1" s="13" t="inlineStr">
        <is>
          <t>Cost (k€)</t>
        </is>
      </c>
      <c r="G1" s="13" t="inlineStr">
        <is>
          <t>Time (working days)</t>
        </is>
      </c>
      <c r="H1" s="13" t="inlineStr">
        <is>
          <t>Change authority</t>
        </is>
      </c>
      <c r="I1" s="13" t="inlineStr">
        <is>
          <t>Status</t>
        </is>
      </c>
      <c r="J1" s="13" t="inlineStr">
        <is>
          <t>Contingency released (k€)</t>
        </is>
      </c>
      <c r="K1" s="13" t="inlineStr">
        <is>
          <t>Note</t>
        </is>
      </c>
    </row>
    <row r="2">
      <c r="A2" s="14" t="inlineStr">
        <is>
          <t>CR-01</t>
        </is>
      </c>
      <c r="B2" s="14" t="inlineStr">
        <is>
          <t>Align the FCCS go-live on the year-end close (January) rather than December</t>
        </is>
      </c>
      <c r="C2" s="14" t="inlineStr">
        <is>
          <t>Time</t>
        </is>
      </c>
      <c r="D2" s="14" t="inlineStr">
        <is>
          <t>Consolidation team</t>
        </is>
      </c>
      <c r="E2" s="17" t="n">
        <v>46157</v>
      </c>
      <c r="F2" s="15" t="n">
        <v>0</v>
      </c>
      <c r="G2" s="15" t="n">
        <v>20</v>
      </c>
      <c r="H2" s="16">
        <f>IF(OR(C2="Scope",F2&gt;10,G2&gt;0),"COPIL","Project manager")</f>
        <v/>
      </c>
      <c r="I2" s="15" t="inlineStr">
        <is>
          <t>Approved</t>
        </is>
      </c>
      <c r="J2" s="16">
        <f>IF(AND(I2="Approved",C2="Cost"),F2,0)</f>
        <v/>
      </c>
      <c r="K2" s="14" t="inlineStr">
        <is>
          <t>Baseline updated at design sign-off</t>
        </is>
      </c>
    </row>
    <row r="3">
      <c r="A3" s="14" t="inlineStr">
        <is>
          <t>CR-02</t>
        </is>
      </c>
      <c r="B3" s="14" t="inlineStr">
        <is>
          <t>Manual file loads for testing until the ERP flows are ready</t>
        </is>
      </c>
      <c r="C3" s="14" t="inlineStr">
        <is>
          <t>Cost</t>
        </is>
      </c>
      <c r="D3" s="14" t="inlineStr">
        <is>
          <t>IT / ERP</t>
        </is>
      </c>
      <c r="E3" s="17" t="n">
        <v>46273</v>
      </c>
      <c r="F3" s="15" t="n">
        <v>8</v>
      </c>
      <c r="G3" s="15" t="n">
        <v>0</v>
      </c>
      <c r="H3" s="16">
        <f>IF(OR(C3="Scope",F3&gt;10,G3&gt;0),"COPIL","Project manager")</f>
        <v/>
      </c>
      <c r="I3" s="15" t="inlineStr">
        <is>
          <t>Approved</t>
        </is>
      </c>
      <c r="J3" s="16">
        <f>IF(AND(I3="Approved",C3="Cost"),F3,0)</f>
        <v/>
      </c>
      <c r="K3" s="14" t="inlineStr">
        <is>
          <t>Within the project manager's delegation</t>
        </is>
      </c>
    </row>
    <row r="4">
      <c r="A4" s="14" t="inlineStr">
        <is>
          <t>CR-03</t>
        </is>
      </c>
      <c r="B4" s="14" t="inlineStr">
        <is>
          <t>Release 30 k€ of contingency: ERP delay and extended testing</t>
        </is>
      </c>
      <c r="C4" s="14" t="inlineStr">
        <is>
          <t>Cost</t>
        </is>
      </c>
      <c r="D4" s="14" t="inlineStr">
        <is>
          <t>Project manager</t>
        </is>
      </c>
      <c r="E4" s="17" t="n">
        <v>46287</v>
      </c>
      <c r="F4" s="15" t="n">
        <v>30</v>
      </c>
      <c r="G4" s="15" t="n">
        <v>0</v>
      </c>
      <c r="H4" s="16">
        <f>IF(OR(C4="Scope",F4&gt;10,G4&gt;0),"COPIL","Project manager")</f>
        <v/>
      </c>
      <c r="I4" s="15" t="inlineStr">
        <is>
          <t>Submitted</t>
        </is>
      </c>
      <c r="J4" s="16">
        <f>IF(AND(I4="Approved",C4="Cost"),F4,0)</f>
        <v/>
      </c>
      <c r="K4" s="14" t="inlineStr">
        <is>
          <t>Awaiting the steering committee</t>
        </is>
      </c>
    </row>
    <row r="5">
      <c r="A5" s="14" t="inlineStr">
        <is>
          <t>CR-04</t>
        </is>
      </c>
      <c r="B5" s="14" t="inlineStr">
        <is>
          <t>Defer the CFO dashboard (case U22) to phase 2</t>
        </is>
      </c>
      <c r="C5" s="14" t="inlineStr">
        <is>
          <t>Scope</t>
        </is>
      </c>
      <c r="D5" s="14" t="inlineStr">
        <is>
          <t>FP&amp;A key users</t>
        </is>
      </c>
      <c r="E5" s="17" t="n">
        <v>46289</v>
      </c>
      <c r="F5" s="15" t="n">
        <v>0</v>
      </c>
      <c r="G5" s="15" t="n">
        <v>0</v>
      </c>
      <c r="H5" s="16">
        <f>IF(OR(C5="Scope",F5&gt;10,G5&gt;0),"COPIL","Project manager")</f>
        <v/>
      </c>
      <c r="I5" s="15" t="inlineStr">
        <is>
          <t>Submitted</t>
        </is>
      </c>
      <c r="J5" s="16">
        <f>IF(AND(I5="Approved",C5="Cost"),F5,0)</f>
        <v/>
      </c>
      <c r="K5" s="14" t="inlineStr">
        <is>
          <t>Reduces test scope; no go-live impact</t>
        </is>
      </c>
    </row>
    <row r="6">
      <c r="A6" s="14" t="inlineStr">
        <is>
          <t>CR-05</t>
        </is>
      </c>
      <c r="B6" s="14" t="inlineStr">
        <is>
          <t>Add driver-based workforce planning to phase 1</t>
        </is>
      </c>
      <c r="C6" s="14" t="inlineStr">
        <is>
          <t>Scope</t>
        </is>
      </c>
      <c r="D6" s="14" t="inlineStr">
        <is>
          <t>FP&amp;A key users</t>
        </is>
      </c>
      <c r="E6" s="17" t="n">
        <v>46206</v>
      </c>
      <c r="F6" s="15" t="n">
        <v>40</v>
      </c>
      <c r="G6" s="15" t="n">
        <v>30</v>
      </c>
      <c r="H6" s="16">
        <f>IF(OR(C6="Scope",F6&gt;10,G6&gt;0),"COPIL","Project manager")</f>
        <v/>
      </c>
      <c r="I6" s="15" t="inlineStr">
        <is>
          <t>Rejected</t>
        </is>
      </c>
      <c r="J6" s="16">
        <f>IF(AND(I6="Approved",C6="Cost"),F6,0)</f>
        <v/>
      </c>
      <c r="K6" s="14" t="inlineStr">
        <is>
          <t>Incompatible with the budget calendar; phase 2</t>
        </is>
      </c>
    </row>
    <row r="8">
      <c r="B8" s="19" t="inlineStr">
        <is>
          <t>Work budget (k€)</t>
        </is>
      </c>
      <c r="C8" s="20" t="n">
        <v>480</v>
      </c>
    </row>
    <row r="9">
      <c r="B9" s="19" t="inlineStr">
        <is>
          <t>Contingency approved at charter (k€)</t>
        </is>
      </c>
      <c r="C9" s="20" t="n">
        <v>48</v>
      </c>
    </row>
    <row r="10">
      <c r="B10" s="19" t="inlineStr">
        <is>
          <t>Contingency released (k€)</t>
        </is>
      </c>
      <c r="C10" s="21">
        <f>SUM(J2:J6)</f>
        <v/>
      </c>
    </row>
    <row r="11">
      <c r="B11" s="19" t="inlineStr">
        <is>
          <t>Contingency left (k€)</t>
        </is>
      </c>
      <c r="C11" s="21">
        <f>C9-C10</f>
        <v/>
      </c>
    </row>
    <row r="12">
      <c r="B12" s="19" t="inlineStr">
        <is>
          <t>Authorised budget (k€)</t>
        </is>
      </c>
      <c r="C12" s="21">
        <f>C8+C10</f>
        <v/>
      </c>
    </row>
  </sheetData>
  <autoFilter ref="A1:K6"/>
  <dataValidations count="2">
    <dataValidation sqref="C2:C6" showDropDown="0" showInputMessage="0" showErrorMessage="0" allowBlank="1" type="list">
      <formula1>"Scope,Cost,Time"</formula1>
    </dataValidation>
    <dataValidation sqref="I2:I6" showDropDown="0" showInputMessage="0" showErrorMessage="0" allowBlank="1" type="list">
      <formula1>"Submitted,Approved,Rejected"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36" customWidth="1" min="3" max="3"/>
    <col width="14" customWidth="1" min="4" max="4"/>
    <col width="20" customWidth="1" min="5" max="5"/>
    <col width="11" customWidth="1" min="6" max="6"/>
    <col width="12" customWidth="1" min="7" max="7"/>
  </cols>
  <sheetData>
    <row r="1">
      <c r="A1" s="13" t="inlineStr">
        <is>
          <t>ID</t>
        </is>
      </c>
      <c r="B1" s="13" t="inlineStr">
        <is>
          <t>Area</t>
        </is>
      </c>
      <c r="C1" s="13" t="inlineStr">
        <is>
          <t>Test case</t>
        </is>
      </c>
      <c r="D1" s="13" t="inlineStr">
        <is>
          <t>Requirement</t>
        </is>
      </c>
      <c r="E1" s="13" t="inlineStr">
        <is>
          <t>Tester</t>
        </is>
      </c>
      <c r="F1" s="13" t="inlineStr">
        <is>
          <t>Status</t>
        </is>
      </c>
      <c r="G1" s="13" t="inlineStr">
        <is>
          <t>Open defect</t>
        </is>
      </c>
    </row>
    <row r="2">
      <c r="A2" s="14" t="inlineStr">
        <is>
          <t>U01</t>
        </is>
      </c>
      <c r="B2" s="14" t="inlineStr">
        <is>
          <t>Planning</t>
        </is>
      </c>
      <c r="C2" s="14" t="inlineStr">
        <is>
          <t>Driver-based budget entry</t>
        </is>
      </c>
      <c r="D2" s="14" t="inlineStr">
        <is>
          <t>REQ-02</t>
        </is>
      </c>
      <c r="E2" s="14" t="inlineStr">
        <is>
          <t>FP&amp;A key users</t>
        </is>
      </c>
      <c r="F2" s="15" t="inlineStr">
        <is>
          <t>Passed</t>
        </is>
      </c>
      <c r="G2" s="14" t="inlineStr"/>
    </row>
    <row r="3">
      <c r="A3" s="14" t="inlineStr">
        <is>
          <t>U02</t>
        </is>
      </c>
      <c r="B3" s="14" t="inlineStr">
        <is>
          <t>Planning</t>
        </is>
      </c>
      <c r="C3" s="14" t="inlineStr">
        <is>
          <t>Revenue = units × price</t>
        </is>
      </c>
      <c r="D3" s="14" t="inlineStr">
        <is>
          <t>REQ-02</t>
        </is>
      </c>
      <c r="E3" s="14" t="inlineStr">
        <is>
          <t>FP&amp;A key users</t>
        </is>
      </c>
      <c r="F3" s="15" t="inlineStr">
        <is>
          <t>Passed</t>
        </is>
      </c>
      <c r="G3" s="14" t="inlineStr"/>
    </row>
    <row r="4">
      <c r="A4" s="14" t="inlineStr">
        <is>
          <t>U03</t>
        </is>
      </c>
      <c r="B4" s="14" t="inlineStr">
        <is>
          <t>Planning</t>
        </is>
      </c>
      <c r="C4" s="14" t="inlineStr">
        <is>
          <t>Payroll and 13th month</t>
        </is>
      </c>
      <c r="D4" s="14" t="inlineStr">
        <is>
          <t>REQ-03</t>
        </is>
      </c>
      <c r="E4" s="14" t="inlineStr">
        <is>
          <t>FP&amp;A key users</t>
        </is>
      </c>
      <c r="F4" s="15" t="inlineStr">
        <is>
          <t>Failed</t>
        </is>
      </c>
      <c r="G4" s="14" t="inlineStr">
        <is>
          <t>D1</t>
        </is>
      </c>
    </row>
    <row r="5">
      <c r="A5" s="14" t="inlineStr">
        <is>
          <t>U04</t>
        </is>
      </c>
      <c r="B5" s="14" t="inlineStr">
        <is>
          <t>Planning</t>
        </is>
      </c>
      <c r="C5" s="14" t="inlineStr">
        <is>
          <t>Head-office cost allocation</t>
        </is>
      </c>
      <c r="D5" s="14" t="inlineStr">
        <is>
          <t>REQ-04</t>
        </is>
      </c>
      <c r="E5" s="14" t="inlineStr">
        <is>
          <t>FP&amp;A key users</t>
        </is>
      </c>
      <c r="F5" s="15" t="inlineStr">
        <is>
          <t>Passed</t>
        </is>
      </c>
      <c r="G5" s="14" t="inlineStr"/>
    </row>
    <row r="6">
      <c r="A6" s="14" t="inlineStr">
        <is>
          <t>U05</t>
        </is>
      </c>
      <c r="B6" s="14" t="inlineStr">
        <is>
          <t>Planning</t>
        </is>
      </c>
      <c r="C6" s="14" t="inlineStr">
        <is>
          <t>Top-down spreading</t>
        </is>
      </c>
      <c r="D6" s="14" t="inlineStr">
        <is>
          <t>REQ-05</t>
        </is>
      </c>
      <c r="E6" s="14" t="inlineStr">
        <is>
          <t>FP&amp;A key users</t>
        </is>
      </c>
      <c r="F6" s="15" t="inlineStr">
        <is>
          <t>Passed</t>
        </is>
      </c>
      <c r="G6" s="14" t="inlineStr"/>
    </row>
    <row r="7">
      <c r="A7" s="14" t="inlineStr">
        <is>
          <t>U06</t>
        </is>
      </c>
      <c r="B7" s="14" t="inlineStr">
        <is>
          <t>Planning</t>
        </is>
      </c>
      <c r="C7" s="14" t="inlineStr">
        <is>
          <t>Budget approval workflow</t>
        </is>
      </c>
      <c r="D7" s="14" t="inlineStr">
        <is>
          <t>REQ-06</t>
        </is>
      </c>
      <c r="E7" s="14" t="inlineStr">
        <is>
          <t>FP&amp;A key users</t>
        </is>
      </c>
      <c r="F7" s="15" t="inlineStr">
        <is>
          <t>Passed</t>
        </is>
      </c>
      <c r="G7" s="14" t="inlineStr"/>
    </row>
    <row r="8">
      <c r="A8" s="14" t="inlineStr">
        <is>
          <t>U07</t>
        </is>
      </c>
      <c r="B8" s="14" t="inlineStr">
        <is>
          <t>Planning</t>
        </is>
      </c>
      <c r="C8" s="14" t="inlineStr">
        <is>
          <t>What-if simulation</t>
        </is>
      </c>
      <c r="D8" s="14" t="inlineStr">
        <is>
          <t>REQ-07</t>
        </is>
      </c>
      <c r="E8" s="14" t="inlineStr">
        <is>
          <t>FP&amp;A key users</t>
        </is>
      </c>
      <c r="F8" s="15" t="inlineStr">
        <is>
          <t>Not run</t>
        </is>
      </c>
      <c r="G8" s="14" t="inlineStr"/>
    </row>
    <row r="9">
      <c r="A9" s="14" t="inlineStr">
        <is>
          <t>U08</t>
        </is>
      </c>
      <c r="B9" s="14" t="inlineStr">
        <is>
          <t>Planning</t>
        </is>
      </c>
      <c r="C9" s="14" t="inlineStr">
        <is>
          <t>Rolling 9+3 forecast</t>
        </is>
      </c>
      <c r="D9" s="14" t="inlineStr">
        <is>
          <t>REQ-01</t>
        </is>
      </c>
      <c r="E9" s="14" t="inlineStr">
        <is>
          <t>FP&amp;A key users</t>
        </is>
      </c>
      <c r="F9" s="15" t="inlineStr">
        <is>
          <t>Not run</t>
        </is>
      </c>
      <c r="G9" s="14" t="inlineStr"/>
    </row>
    <row r="10">
      <c r="A10" s="14" t="inlineStr">
        <is>
          <t>U09</t>
        </is>
      </c>
      <c r="B10" s="14" t="inlineStr">
        <is>
          <t>Consolidation</t>
        </is>
      </c>
      <c r="C10" s="14" t="inlineStr">
        <is>
          <t>IAS 21 translation</t>
        </is>
      </c>
      <c r="D10" s="14" t="inlineStr">
        <is>
          <t>FCCS design</t>
        </is>
      </c>
      <c r="E10" s="14" t="inlineStr">
        <is>
          <t>Consolidation team</t>
        </is>
      </c>
      <c r="F10" s="15" t="inlineStr">
        <is>
          <t>Passed</t>
        </is>
      </c>
      <c r="G10" s="14" t="inlineStr"/>
    </row>
    <row r="11">
      <c r="A11" s="14" t="inlineStr">
        <is>
          <t>U10</t>
        </is>
      </c>
      <c r="B11" s="14" t="inlineStr">
        <is>
          <t>Consolidation</t>
        </is>
      </c>
      <c r="C11" s="14" t="inlineStr">
        <is>
          <t>Intercompany matching</t>
        </is>
      </c>
      <c r="D11" s="14" t="inlineStr">
        <is>
          <t>FCCS design</t>
        </is>
      </c>
      <c r="E11" s="14" t="inlineStr">
        <is>
          <t>Consolidation team</t>
        </is>
      </c>
      <c r="F11" s="15" t="inlineStr">
        <is>
          <t>Failed</t>
        </is>
      </c>
      <c r="G11" s="14" t="inlineStr">
        <is>
          <t>D2</t>
        </is>
      </c>
    </row>
    <row r="12">
      <c r="A12" s="14" t="inlineStr">
        <is>
          <t>U11</t>
        </is>
      </c>
      <c r="B12" s="14" t="inlineStr">
        <is>
          <t>Consolidation</t>
        </is>
      </c>
      <c r="C12" s="14" t="inlineStr">
        <is>
          <t>Automatic eliminations</t>
        </is>
      </c>
      <c r="D12" s="14" t="inlineStr">
        <is>
          <t>FCCS design</t>
        </is>
      </c>
      <c r="E12" s="14" t="inlineStr">
        <is>
          <t>Consolidation team</t>
        </is>
      </c>
      <c r="F12" s="15" t="inlineStr">
        <is>
          <t>Passed</t>
        </is>
      </c>
      <c r="G12" s="14" t="inlineStr"/>
    </row>
    <row r="13">
      <c r="A13" s="14" t="inlineStr">
        <is>
          <t>U12</t>
        </is>
      </c>
      <c r="B13" s="14" t="inlineStr">
        <is>
          <t>Consolidation</t>
        </is>
      </c>
      <c r="C13" s="14" t="inlineStr">
        <is>
          <t>Goodwill and NCI</t>
        </is>
      </c>
      <c r="D13" s="14" t="inlineStr">
        <is>
          <t>FCCS design</t>
        </is>
      </c>
      <c r="E13" s="14" t="inlineStr">
        <is>
          <t>Consolidation team</t>
        </is>
      </c>
      <c r="F13" s="15" t="inlineStr">
        <is>
          <t>Passed</t>
        </is>
      </c>
      <c r="G13" s="14" t="inlineStr"/>
    </row>
    <row r="14">
      <c r="A14" s="14" t="inlineStr">
        <is>
          <t>U13</t>
        </is>
      </c>
      <c r="B14" s="14" t="inlineStr">
        <is>
          <t>Consolidation</t>
        </is>
      </c>
      <c r="C14" s="14" t="inlineStr">
        <is>
          <t>Journals and approval</t>
        </is>
      </c>
      <c r="D14" s="14" t="inlineStr">
        <is>
          <t>FCCS design</t>
        </is>
      </c>
      <c r="E14" s="14" t="inlineStr">
        <is>
          <t>Consolidation team</t>
        </is>
      </c>
      <c r="F14" s="15" t="inlineStr">
        <is>
          <t>Blocked</t>
        </is>
      </c>
      <c r="G14" s="14" t="inlineStr">
        <is>
          <t>D5</t>
        </is>
      </c>
    </row>
    <row r="15">
      <c r="A15" s="14" t="inlineStr">
        <is>
          <t>U14</t>
        </is>
      </c>
      <c r="B15" s="14" t="inlineStr">
        <is>
          <t>Consolidation</t>
        </is>
      </c>
      <c r="C15" s="14" t="inlineStr">
        <is>
          <t>Consolidated statements</t>
        </is>
      </c>
      <c r="D15" s="14" t="inlineStr">
        <is>
          <t>FCCS design</t>
        </is>
      </c>
      <c r="E15" s="14" t="inlineStr">
        <is>
          <t>Consolidation team</t>
        </is>
      </c>
      <c r="F15" s="15" t="inlineStr">
        <is>
          <t>Not run</t>
        </is>
      </c>
      <c r="G15" s="14" t="inlineStr"/>
    </row>
    <row r="16">
      <c r="A16" s="14" t="inlineStr">
        <is>
          <t>U15</t>
        </is>
      </c>
      <c r="B16" s="14" t="inlineStr">
        <is>
          <t>Consolidation</t>
        </is>
      </c>
      <c r="C16" s="14" t="inlineStr">
        <is>
          <t>Close checks</t>
        </is>
      </c>
      <c r="D16" s="14" t="inlineStr">
        <is>
          <t>FCCS design</t>
        </is>
      </c>
      <c r="E16" s="14" t="inlineStr">
        <is>
          <t>Consolidation team</t>
        </is>
      </c>
      <c r="F16" s="15" t="inlineStr">
        <is>
          <t>Not run</t>
        </is>
      </c>
      <c r="G16" s="14" t="inlineStr"/>
    </row>
    <row r="17">
      <c r="A17" s="14" t="inlineStr">
        <is>
          <t>U16</t>
        </is>
      </c>
      <c r="B17" s="14" t="inlineStr">
        <is>
          <t>Data</t>
        </is>
      </c>
      <c r="C17" s="14" t="inlineStr">
        <is>
          <t>Monthly ERP actuals load</t>
        </is>
      </c>
      <c r="D17" s="14" t="inlineStr">
        <is>
          <t>REQ-08</t>
        </is>
      </c>
      <c r="E17" s="14" t="inlineStr">
        <is>
          <t>IT / ERP</t>
        </is>
      </c>
      <c r="F17" s="15" t="inlineStr">
        <is>
          <t>Passed</t>
        </is>
      </c>
      <c r="G17" s="14" t="inlineStr"/>
    </row>
    <row r="18">
      <c r="A18" s="14" t="inlineStr">
        <is>
          <t>U17</t>
        </is>
      </c>
      <c r="B18" s="14" t="inlineStr">
        <is>
          <t>Data</t>
        </is>
      </c>
      <c r="C18" s="14" t="inlineStr">
        <is>
          <t>Mapping table and kick-outs</t>
        </is>
      </c>
      <c r="D18" s="14" t="inlineStr">
        <is>
          <t>REQ-08</t>
        </is>
      </c>
      <c r="E18" s="14" t="inlineStr">
        <is>
          <t>IT / ERP</t>
        </is>
      </c>
      <c r="F18" s="15" t="inlineStr">
        <is>
          <t>Passed</t>
        </is>
      </c>
      <c r="G18" s="14" t="inlineStr"/>
    </row>
    <row r="19">
      <c r="A19" s="14" t="inlineStr">
        <is>
          <t>U18</t>
        </is>
      </c>
      <c r="B19" s="14" t="inlineStr">
        <is>
          <t>Data</t>
        </is>
      </c>
      <c r="C19" s="14" t="inlineStr">
        <is>
          <t>Exchange rate load</t>
        </is>
      </c>
      <c r="D19" s="14" t="inlineStr">
        <is>
          <t>FCCS design</t>
        </is>
      </c>
      <c r="E19" s="14" t="inlineStr">
        <is>
          <t>IT / ERP</t>
        </is>
      </c>
      <c r="F19" s="15" t="inlineStr">
        <is>
          <t>Not run</t>
        </is>
      </c>
      <c r="G19" s="14" t="inlineStr"/>
    </row>
    <row r="20">
      <c r="A20" s="14" t="inlineStr">
        <is>
          <t>U19</t>
        </is>
      </c>
      <c r="B20" s="14" t="inlineStr">
        <is>
          <t>Data</t>
        </is>
      </c>
      <c r="C20" s="14" t="inlineStr">
        <is>
          <t>2024–2025 history reconciled</t>
        </is>
      </c>
      <c r="D20" s="14" t="inlineStr">
        <is>
          <t>REQ-08</t>
        </is>
      </c>
      <c r="E20" s="14" t="inlineStr">
        <is>
          <t>IT / ERP</t>
        </is>
      </c>
      <c r="F20" s="15" t="inlineStr">
        <is>
          <t>Blocked</t>
        </is>
      </c>
      <c r="G20" s="14" t="inlineStr">
        <is>
          <t>D6</t>
        </is>
      </c>
    </row>
    <row r="21">
      <c r="A21" s="14" t="inlineStr">
        <is>
          <t>U20</t>
        </is>
      </c>
      <c r="B21" s="14" t="inlineStr">
        <is>
          <t>Reports</t>
        </is>
      </c>
      <c r="C21" s="14" t="inlineStr">
        <is>
          <t>Budget variance report</t>
        </is>
      </c>
      <c r="D21" s="14" t="inlineStr">
        <is>
          <t>REQ-09</t>
        </is>
      </c>
      <c r="E21" s="14" t="inlineStr">
        <is>
          <t>FP&amp;A key users</t>
        </is>
      </c>
      <c r="F21" s="15" t="inlineStr">
        <is>
          <t>Passed</t>
        </is>
      </c>
      <c r="G21" s="14" t="inlineStr"/>
    </row>
    <row r="22">
      <c r="A22" s="14" t="inlineStr">
        <is>
          <t>U21</t>
        </is>
      </c>
      <c r="B22" s="14" t="inlineStr">
        <is>
          <t>Reports</t>
        </is>
      </c>
      <c r="C22" s="14" t="inlineStr">
        <is>
          <t>Consolidation pack</t>
        </is>
      </c>
      <c r="D22" s="14" t="inlineStr">
        <is>
          <t>FCCS design</t>
        </is>
      </c>
      <c r="E22" s="14" t="inlineStr">
        <is>
          <t>FP&amp;A key users</t>
        </is>
      </c>
      <c r="F22" s="15" t="inlineStr">
        <is>
          <t>Not run</t>
        </is>
      </c>
      <c r="G22" s="14" t="inlineStr"/>
    </row>
    <row r="23">
      <c r="A23" s="14" t="inlineStr">
        <is>
          <t>U22</t>
        </is>
      </c>
      <c r="B23" s="14" t="inlineStr">
        <is>
          <t>Reports</t>
        </is>
      </c>
      <c r="C23" s="14" t="inlineStr">
        <is>
          <t>CFO dashboard</t>
        </is>
      </c>
      <c r="D23" s="14" t="inlineStr">
        <is>
          <t>REQ-12</t>
        </is>
      </c>
      <c r="E23" s="14" t="inlineStr">
        <is>
          <t>FP&amp;A key users</t>
        </is>
      </c>
      <c r="F23" s="15" t="inlineStr">
        <is>
          <t>Not run</t>
        </is>
      </c>
      <c r="G23" s="14" t="inlineStr"/>
    </row>
    <row r="24">
      <c r="A24" s="14" t="inlineStr">
        <is>
          <t>U23</t>
        </is>
      </c>
      <c r="B24" s="14" t="inlineStr">
        <is>
          <t>Security</t>
        </is>
      </c>
      <c r="C24" s="14" t="inlineStr">
        <is>
          <t>Access restricted by entity</t>
        </is>
      </c>
      <c r="D24" s="14" t="inlineStr">
        <is>
          <t>REQ-10</t>
        </is>
      </c>
      <c r="E24" s="14" t="inlineStr">
        <is>
          <t>IT / ERP</t>
        </is>
      </c>
      <c r="F24" s="15" t="inlineStr">
        <is>
          <t>Failed</t>
        </is>
      </c>
      <c r="G24" s="14" t="inlineStr">
        <is>
          <t>D4</t>
        </is>
      </c>
    </row>
    <row r="25">
      <c r="A25" s="14" t="inlineStr">
        <is>
          <t>U24</t>
        </is>
      </c>
      <c r="B25" s="14" t="inlineStr">
        <is>
          <t>Security</t>
        </is>
      </c>
      <c r="C25" s="14" t="inlineStr">
        <is>
          <t>Approver profiles</t>
        </is>
      </c>
      <c r="D25" s="14" t="inlineStr">
        <is>
          <t>REQ-10</t>
        </is>
      </c>
      <c r="E25" s="14" t="inlineStr">
        <is>
          <t>IT / ERP</t>
        </is>
      </c>
      <c r="F25" s="15" t="inlineStr">
        <is>
          <t>Not run</t>
        </is>
      </c>
      <c r="G25" s="14" t="inlineStr"/>
    </row>
  </sheetData>
  <autoFilter ref="A1:G25"/>
  <conditionalFormatting sqref="F2:F25">
    <cfRule type="cellIs" priority="1" operator="equal" dxfId="2">
      <formula>"Passed"</formula>
    </cfRule>
    <cfRule type="cellIs" priority="2" operator="equal" dxfId="0">
      <formula>"Failed"</formula>
    </cfRule>
    <cfRule type="cellIs" priority="3" operator="equal" dxfId="1">
      <formula>"Blocked"</formula>
    </cfRule>
  </conditionalFormatting>
  <dataValidations count="1">
    <dataValidation sqref="F2:F25" showDropDown="0" showInputMessage="0" showErrorMessage="0" allowBlank="1" type="list">
      <formula1>"Passed,Failed,Blocked,Not run,Descoped"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64" customWidth="1" min="4" max="4"/>
    <col width="16" customWidth="1" min="5" max="5"/>
    <col width="9" customWidth="1" min="6" max="6"/>
  </cols>
  <sheetData>
    <row r="1">
      <c r="A1" s="13" t="inlineStr">
        <is>
          <t>ID</t>
        </is>
      </c>
      <c r="B1" s="13" t="inlineStr">
        <is>
          <t>Test case</t>
        </is>
      </c>
      <c r="C1" s="13" t="inlineStr">
        <is>
          <t>Severity</t>
        </is>
      </c>
      <c r="D1" s="13" t="inlineStr">
        <is>
          <t>Description</t>
        </is>
      </c>
      <c r="E1" s="13" t="inlineStr">
        <is>
          <t>Owner</t>
        </is>
      </c>
      <c r="F1" s="13" t="inlineStr">
        <is>
          <t>Status</t>
        </is>
      </c>
    </row>
    <row r="2">
      <c r="A2" s="14" t="inlineStr">
        <is>
          <t>D1</t>
        </is>
      </c>
      <c r="B2" s="14" t="inlineStr">
        <is>
          <t>U03</t>
        </is>
      </c>
      <c r="C2" s="15" t="inlineStr">
        <is>
          <t>Critical</t>
        </is>
      </c>
      <c r="D2" s="14" t="inlineStr">
        <is>
          <t>The 13th month is not calculated in December for Paris</t>
        </is>
      </c>
      <c r="E2" s="14" t="inlineStr">
        <is>
          <t>EPM consultant</t>
        </is>
      </c>
      <c r="F2" s="15" t="inlineStr">
        <is>
          <t>Open</t>
        </is>
      </c>
    </row>
    <row r="3">
      <c r="A3" s="14" t="inlineStr">
        <is>
          <t>D2</t>
        </is>
      </c>
      <c r="B3" s="14" t="inlineStr">
        <is>
          <t>U10</t>
        </is>
      </c>
      <c r="C3" s="15" t="inlineStr">
        <is>
          <t>Major</t>
        </is>
      </c>
      <c r="D3" s="14" t="inlineStr">
        <is>
          <t>FX differences are flagged 'to investigate' instead of 'FX difference'</t>
        </is>
      </c>
      <c r="E3" s="14" t="inlineStr">
        <is>
          <t>EPM consultant</t>
        </is>
      </c>
      <c r="F3" s="15" t="inlineStr">
        <is>
          <t>Open</t>
        </is>
      </c>
    </row>
    <row r="4">
      <c r="A4" s="14" t="inlineStr">
        <is>
          <t>D3</t>
        </is>
      </c>
      <c r="B4" s="14" t="inlineStr">
        <is>
          <t>U20</t>
        </is>
      </c>
      <c r="C4" s="15" t="inlineStr">
        <is>
          <t>Minor</t>
        </is>
      </c>
      <c r="D4" s="14" t="inlineStr">
        <is>
          <t>Truncated label in the variance report</t>
        </is>
      </c>
      <c r="E4" s="14" t="inlineStr">
        <is>
          <t>EPM consultant</t>
        </is>
      </c>
      <c r="F4" s="15" t="inlineStr">
        <is>
          <t>Closed</t>
        </is>
      </c>
    </row>
    <row r="5">
      <c r="A5" s="14" t="inlineStr">
        <is>
          <t>D4</t>
        </is>
      </c>
      <c r="B5" s="14" t="inlineStr">
        <is>
          <t>U23</t>
        </is>
      </c>
      <c r="C5" s="15" t="inlineStr">
        <is>
          <t>Critical</t>
        </is>
      </c>
      <c r="D5" s="14" t="inlineStr">
        <is>
          <t>A Lille controller can see Paris data</t>
        </is>
      </c>
      <c r="E5" s="14" t="inlineStr">
        <is>
          <t>EPM consultant</t>
        </is>
      </c>
      <c r="F5" s="15" t="inlineStr">
        <is>
          <t>Open</t>
        </is>
      </c>
    </row>
    <row r="6">
      <c r="A6" s="14" t="inlineStr">
        <is>
          <t>D5</t>
        </is>
      </c>
      <c r="B6" s="14" t="inlineStr">
        <is>
          <t>U13</t>
        </is>
      </c>
      <c r="C6" s="15" t="inlineStr">
        <is>
          <t>Major</t>
        </is>
      </c>
      <c r="D6" s="14" t="inlineStr">
        <is>
          <t>Journals unavailable since Oracle's 4 September update (test environment)</t>
        </is>
      </c>
      <c r="E6" s="14" t="inlineStr">
        <is>
          <t>IT / ERP</t>
        </is>
      </c>
      <c r="F6" s="15" t="inlineStr">
        <is>
          <t>Open</t>
        </is>
      </c>
    </row>
    <row r="7">
      <c r="A7" s="14" t="inlineStr">
        <is>
          <t>D6</t>
        </is>
      </c>
      <c r="B7" s="14" t="inlineStr">
        <is>
          <t>U19</t>
        </is>
      </c>
      <c r="C7" s="15" t="inlineStr">
        <is>
          <t>Major</t>
        </is>
      </c>
      <c r="D7" s="14" t="inlineStr">
        <is>
          <t>2024 history incomplete: ERP flow not delivered</t>
        </is>
      </c>
      <c r="E7" s="14" t="inlineStr">
        <is>
          <t>IT / ERP</t>
        </is>
      </c>
      <c r="F7" s="15" t="inlineStr">
        <is>
          <t>Open</t>
        </is>
      </c>
    </row>
  </sheetData>
  <autoFilter ref="A1:F7"/>
  <conditionalFormatting sqref="C2:C7">
    <cfRule type="expression" priority="1" dxfId="0">
      <formula>AND(C2="Critical",F2&lt;&gt;"Closed")</formula>
    </cfRule>
  </conditionalFormatting>
  <dataValidations count="2">
    <dataValidation sqref="C2:C7" showDropDown="0" showInputMessage="0" showErrorMessage="0" allowBlank="1" type="list">
      <formula1>"Critical,Major,Minor"</formula1>
    </dataValidation>
    <dataValidation sqref="F2:F7" showDropDown="0" showInputMessage="0" showErrorMessage="0" allowBlank="1" type="list">
      <formula1>"Open,Fixed,Closed"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8" customWidth="1" min="3" max="3"/>
    <col width="9" customWidth="1" min="4" max="4"/>
    <col width="20" customWidth="1" min="5" max="5"/>
    <col width="8" customWidth="1" min="6" max="6"/>
  </cols>
  <sheetData>
    <row r="1">
      <c r="A1" s="13" t="inlineStr">
        <is>
          <t>ID</t>
        </is>
      </c>
      <c r="B1" s="13" t="inlineStr">
        <is>
          <t>Area</t>
        </is>
      </c>
      <c r="C1" s="13" t="inlineStr">
        <is>
          <t>Action</t>
        </is>
      </c>
      <c r="D1" s="13" t="inlineStr">
        <is>
          <t>Critical</t>
        </is>
      </c>
      <c r="E1" s="13" t="inlineStr">
        <is>
          <t>Owner</t>
        </is>
      </c>
      <c r="F1" s="13" t="inlineStr">
        <is>
          <t>Done</t>
        </is>
      </c>
    </row>
    <row r="2">
      <c r="A2" s="14" t="inlineStr">
        <is>
          <t>K1</t>
        </is>
      </c>
      <c r="B2" s="14" t="inlineStr">
        <is>
          <t>Data</t>
        </is>
      </c>
      <c r="C2" s="14" t="inlineStr">
        <is>
          <t>2024–2025 history loaded and reconciled</t>
        </is>
      </c>
      <c r="D2" s="14" t="inlineStr">
        <is>
          <t>Yes</t>
        </is>
      </c>
      <c r="E2" s="14" t="inlineStr">
        <is>
          <t>IT / ERP</t>
        </is>
      </c>
      <c r="F2" s="15" t="inlineStr">
        <is>
          <t>No</t>
        </is>
      </c>
    </row>
    <row r="3">
      <c r="A3" s="14" t="inlineStr">
        <is>
          <t>K2</t>
        </is>
      </c>
      <c r="B3" s="14" t="inlineStr">
        <is>
          <t>Data</t>
        </is>
      </c>
      <c r="C3" s="14" t="inlineStr">
        <is>
          <t>Exchange rates and opening balances approved</t>
        </is>
      </c>
      <c r="D3" s="14" t="inlineStr">
        <is>
          <t>Yes</t>
        </is>
      </c>
      <c r="E3" s="14" t="inlineStr">
        <is>
          <t>Consolidation team</t>
        </is>
      </c>
      <c r="F3" s="15" t="inlineStr">
        <is>
          <t>Yes</t>
        </is>
      </c>
    </row>
    <row r="4">
      <c r="A4" s="14" t="inlineStr">
        <is>
          <t>K3</t>
        </is>
      </c>
      <c r="B4" s="14" t="inlineStr">
        <is>
          <t>Data</t>
        </is>
      </c>
      <c r="C4" s="14" t="inlineStr">
        <is>
          <t>ERP mapping tables frozen</t>
        </is>
      </c>
      <c r="D4" s="14" t="inlineStr">
        <is>
          <t>Yes</t>
        </is>
      </c>
      <c r="E4" s="14" t="inlineStr">
        <is>
          <t>IT / ERP</t>
        </is>
      </c>
      <c r="F4" s="15" t="inlineStr">
        <is>
          <t>Yes</t>
        </is>
      </c>
    </row>
    <row r="5">
      <c r="A5" s="14" t="inlineStr">
        <is>
          <t>K4</t>
        </is>
      </c>
      <c r="B5" s="14" t="inlineStr">
        <is>
          <t>Technical</t>
        </is>
      </c>
      <c r="C5" s="14" t="inlineStr">
        <is>
          <t>ERP flows scheduled in production</t>
        </is>
      </c>
      <c r="D5" s="14" t="inlineStr">
        <is>
          <t>Yes</t>
        </is>
      </c>
      <c r="E5" s="14" t="inlineStr">
        <is>
          <t>IT / ERP</t>
        </is>
      </c>
      <c r="F5" s="15" t="inlineStr">
        <is>
          <t>No</t>
        </is>
      </c>
    </row>
    <row r="6">
      <c r="A6" s="14" t="inlineStr">
        <is>
          <t>K5</t>
        </is>
      </c>
      <c r="B6" s="14" t="inlineStr">
        <is>
          <t>Technical</t>
        </is>
      </c>
      <c r="C6" s="14" t="inlineStr">
        <is>
          <t>Application snapshot taken before cutover</t>
        </is>
      </c>
      <c r="D6" s="14" t="inlineStr">
        <is>
          <t>Yes</t>
        </is>
      </c>
      <c r="E6" s="14" t="inlineStr">
        <is>
          <t>EPM consultant</t>
        </is>
      </c>
      <c r="F6" s="15" t="inlineStr">
        <is>
          <t>No</t>
        </is>
      </c>
    </row>
    <row r="7">
      <c r="A7" s="14" t="inlineStr">
        <is>
          <t>K6</t>
        </is>
      </c>
      <c r="B7" s="14" t="inlineStr">
        <is>
          <t>Technical</t>
        </is>
      </c>
      <c r="C7" s="14" t="inlineStr">
        <is>
          <t>Production access rights checked by entity</t>
        </is>
      </c>
      <c r="D7" s="14" t="inlineStr">
        <is>
          <t>Yes</t>
        </is>
      </c>
      <c r="E7" s="14" t="inlineStr">
        <is>
          <t>EPM consultant</t>
        </is>
      </c>
      <c r="F7" s="15" t="inlineStr">
        <is>
          <t>No</t>
        </is>
      </c>
    </row>
    <row r="8">
      <c r="A8" s="14" t="inlineStr">
        <is>
          <t>K15</t>
        </is>
      </c>
      <c r="B8" s="14" t="inlineStr">
        <is>
          <t>Technical</t>
        </is>
      </c>
      <c r="C8" s="14" t="inlineStr">
        <is>
          <t>Mock cutover (dress rehearsal) completed, timings measured</t>
        </is>
      </c>
      <c r="D8" s="14" t="inlineStr">
        <is>
          <t>Yes</t>
        </is>
      </c>
      <c r="E8" s="14" t="inlineStr">
        <is>
          <t>IT / ERP</t>
        </is>
      </c>
      <c r="F8" s="15" t="inlineStr">
        <is>
          <t>No</t>
        </is>
      </c>
    </row>
    <row r="9">
      <c r="A9" s="14" t="inlineStr">
        <is>
          <t>K16</t>
        </is>
      </c>
      <c r="B9" s="14" t="inlineStr">
        <is>
          <t>Technical</t>
        </is>
      </c>
      <c r="C9" s="14" t="inlineStr">
        <is>
          <t>Regression tests passed after Oracle's October update</t>
        </is>
      </c>
      <c r="D9" s="14" t="inlineStr">
        <is>
          <t>Yes</t>
        </is>
      </c>
      <c r="E9" s="14" t="inlineStr">
        <is>
          <t>FP&amp;A key users</t>
        </is>
      </c>
      <c r="F9" s="15" t="inlineStr">
        <is>
          <t>No</t>
        </is>
      </c>
    </row>
    <row r="10">
      <c r="A10" s="14" t="inlineStr">
        <is>
          <t>K7</t>
        </is>
      </c>
      <c r="B10" s="14" t="inlineStr">
        <is>
          <t>Users</t>
        </is>
      </c>
      <c r="C10" s="14" t="inlineStr">
        <is>
          <t>At least 90 % of users trained</t>
        </is>
      </c>
      <c r="D10" s="14" t="inlineStr">
        <is>
          <t>Yes</t>
        </is>
      </c>
      <c r="E10" s="14" t="inlineStr">
        <is>
          <t>Project manager</t>
        </is>
      </c>
      <c r="F10" s="15" t="inlineStr">
        <is>
          <t>No</t>
        </is>
      </c>
    </row>
    <row r="11">
      <c r="A11" s="14" t="inlineStr">
        <is>
          <t>K8</t>
        </is>
      </c>
      <c r="B11" s="14" t="inlineStr">
        <is>
          <t>Users</t>
        </is>
      </c>
      <c r="C11" s="14" t="inlineStr">
        <is>
          <t>User guides published</t>
        </is>
      </c>
      <c r="D11" s="14" t="inlineStr">
        <is>
          <t>No</t>
        </is>
      </c>
      <c r="E11" s="14" t="inlineStr">
        <is>
          <t>EPM consultant</t>
        </is>
      </c>
      <c r="F11" s="15" t="inlineStr">
        <is>
          <t>Yes</t>
        </is>
      </c>
    </row>
    <row r="12">
      <c r="A12" s="14" t="inlineStr">
        <is>
          <t>K9</t>
        </is>
      </c>
      <c r="B12" s="14" t="inlineStr">
        <is>
          <t>Users</t>
        </is>
      </c>
      <c r="C12" s="14" t="inlineStr">
        <is>
          <t>Champions named in each entity</t>
        </is>
      </c>
      <c r="D12" s="14" t="inlineStr">
        <is>
          <t>No</t>
        </is>
      </c>
      <c r="E12" s="14" t="inlineStr">
        <is>
          <t>Sponsor (CFO)</t>
        </is>
      </c>
      <c r="F12" s="15" t="inlineStr">
        <is>
          <t>Yes</t>
        </is>
      </c>
    </row>
    <row r="13">
      <c r="A13" s="14" t="inlineStr">
        <is>
          <t>K10</t>
        </is>
      </c>
      <c r="B13" s="14" t="inlineStr">
        <is>
          <t>Support</t>
        </is>
      </c>
      <c r="C13" s="14" t="inlineStr">
        <is>
          <t>Hypercare schedule approved</t>
        </is>
      </c>
      <c r="D13" s="14" t="inlineStr">
        <is>
          <t>No</t>
        </is>
      </c>
      <c r="E13" s="14" t="inlineStr">
        <is>
          <t>Project manager</t>
        </is>
      </c>
      <c r="F13" s="15" t="inlineStr">
        <is>
          <t>Yes</t>
        </is>
      </c>
    </row>
    <row r="14">
      <c r="A14" s="14" t="inlineStr">
        <is>
          <t>K11</t>
        </is>
      </c>
      <c r="B14" s="14" t="inlineStr">
        <is>
          <t>Support</t>
        </is>
      </c>
      <c r="C14" s="14" t="inlineStr">
        <is>
          <t>Oracle support (SR) procedure tested</t>
        </is>
      </c>
      <c r="D14" s="14" t="inlineStr">
        <is>
          <t>No</t>
        </is>
      </c>
      <c r="E14" s="14" t="inlineStr">
        <is>
          <t>IT / ERP</t>
        </is>
      </c>
      <c r="F14" s="15" t="inlineStr">
        <is>
          <t>No</t>
        </is>
      </c>
    </row>
    <row r="15">
      <c r="A15" s="14" t="inlineStr">
        <is>
          <t>K12</t>
        </is>
      </c>
      <c r="B15" s="14" t="inlineStr">
        <is>
          <t>Governance</t>
        </is>
      </c>
      <c r="C15" s="14" t="inlineStr">
        <is>
          <t>Test sign-off minutes signed by the sponsor</t>
        </is>
      </c>
      <c r="D15" s="14" t="inlineStr">
        <is>
          <t>Yes</t>
        </is>
      </c>
      <c r="E15" s="14" t="inlineStr">
        <is>
          <t>Sponsor (CFO)</t>
        </is>
      </c>
      <c r="F15" s="15" t="inlineStr">
        <is>
          <t>No</t>
        </is>
      </c>
    </row>
    <row r="16">
      <c r="A16" s="14" t="inlineStr">
        <is>
          <t>K13</t>
        </is>
      </c>
      <c r="B16" s="14" t="inlineStr">
        <is>
          <t>Governance</t>
        </is>
      </c>
      <c r="C16" s="14" t="inlineStr">
        <is>
          <t>Rollback plan documented</t>
        </is>
      </c>
      <c r="D16" s="14" t="inlineStr">
        <is>
          <t>Yes</t>
        </is>
      </c>
      <c r="E16" s="14" t="inlineStr">
        <is>
          <t>Project manager</t>
        </is>
      </c>
      <c r="F16" s="15" t="inlineStr">
        <is>
          <t>Yes</t>
        </is>
      </c>
    </row>
    <row r="17">
      <c r="A17" s="14" t="inlineStr">
        <is>
          <t>K14</t>
        </is>
      </c>
      <c r="B17" s="14" t="inlineStr">
        <is>
          <t>Governance</t>
        </is>
      </c>
      <c r="C17" s="14" t="inlineStr">
        <is>
          <t>Launch communication sent</t>
        </is>
      </c>
      <c r="D17" s="14" t="inlineStr">
        <is>
          <t>No</t>
        </is>
      </c>
      <c r="E17" s="14" t="inlineStr">
        <is>
          <t>Project manager</t>
        </is>
      </c>
      <c r="F17" s="15" t="inlineStr">
        <is>
          <t>No</t>
        </is>
      </c>
    </row>
  </sheetData>
  <autoFilter ref="A1:F17"/>
  <conditionalFormatting sqref="F2:F17">
    <cfRule type="expression" priority="1" dxfId="0">
      <formula>AND(D2="Yes",F2="No")</formula>
    </cfRule>
  </conditionalFormatting>
  <dataValidations count="1">
    <dataValidation sqref="F2:F17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Gaurav Sharma</dc:creator>
  <dc:title xmlns:dc="http://purl.org/dc/elements/1.1/">Lumen Rollout · Project control workbook</dc:title>
  <dcterms:created xmlns:dcterms="http://purl.org/dc/terms/" xmlns:xsi="http://www.w3.org/2001/XMLSchema-instance" xsi:type="dcterms:W3CDTF">2026-09-25T16:30:18Z</dcterms:created>
  <dcterms:modified xmlns:dcterms="http://purl.org/dc/terms/" xmlns:xsi="http://www.w3.org/2001/XMLSchema-instance" xsi:type="dcterms:W3CDTF">2026-09-25T16:30:18Z</dcterms:modified>
</cp:coreProperties>
</file>